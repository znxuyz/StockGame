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仙獸設定主表" sheetId="1" r:id="rId4"/>
    <sheet state="visible" name="MidjourneyPrompt完整版" sheetId="2" r:id="rId5"/>
    <sheet state="visible" name="陣營與稀有度統計" sheetId="3" r:id="rId6"/>
    <sheet state="visible" name="使用說明" sheetId="4" r:id="rId7"/>
  </sheets>
  <definedNames/>
  <calcPr/>
  <extLst>
    <ext uri="GoogleSheetsCustomDataVersion2">
      <go:sheetsCustomData xmlns:go="http://customooxmlschemas.google.com/" r:id="rId8" roundtripDataChecksum="qlDvrNI8sRa9xLF5o02OAlNW1iUh5RAj1d/lOkTuBQk="/>
    </ext>
  </extLst>
</workbook>
</file>

<file path=xl/sharedStrings.xml><?xml version="1.0" encoding="utf-8"?>
<sst xmlns="http://schemas.openxmlformats.org/spreadsheetml/2006/main" count="402" uniqueCount="266">
  <si>
    <t>編號</t>
  </si>
  <si>
    <t>中文名</t>
  </si>
  <si>
    <t>屬性</t>
  </si>
  <si>
    <r>
      <rPr>
        <rFont val="Noto Sans CJK SC"/>
        <b/>
        <color rgb="FFFFFFFF"/>
        <sz val="11.0"/>
      </rPr>
      <t>性別</t>
    </r>
    <r>
      <rPr>
        <rFont val="Arial"/>
        <b/>
        <color rgb="FFFFFFFF"/>
        <sz val="11.0"/>
      </rPr>
      <t>/</t>
    </r>
    <r>
      <rPr>
        <rFont val="Noto Sans CJK SC"/>
        <b/>
        <color rgb="FFFFFFFF"/>
        <sz val="11.0"/>
      </rPr>
      <t>形態</t>
    </r>
  </si>
  <si>
    <t>陣營</t>
  </si>
  <si>
    <t>背景故事</t>
  </si>
  <si>
    <t>太初炎君</t>
  </si>
  <si>
    <r>
      <rPr>
        <rFont val="Noto Sans CJK SC"/>
        <color theme="1"/>
        <sz val="10.0"/>
      </rPr>
      <t>火</t>
    </r>
    <r>
      <rPr>
        <rFont val="Arial"/>
        <color theme="1"/>
        <sz val="10.0"/>
      </rPr>
      <t>/</t>
    </r>
    <r>
      <rPr>
        <rFont val="Noto Sans CJK SC"/>
        <color theme="1"/>
        <sz val="10.0"/>
      </rPr>
      <t>光</t>
    </r>
  </si>
  <si>
    <t>雄性巨獸</t>
  </si>
  <si>
    <t>天界</t>
  </si>
  <si>
    <r>
      <rPr>
        <rFont val="Noto Sans CJK SC"/>
        <color theme="1"/>
        <sz val="10.0"/>
      </rPr>
      <t>宇宙誕生時的第一道光</t>
    </r>
    <r>
      <rPr>
        <rFont val="Arial"/>
        <color theme="1"/>
        <sz val="10.0"/>
      </rPr>
      <t>,</t>
    </r>
    <r>
      <rPr>
        <rFont val="Noto Sans CJK SC"/>
        <color theme="1"/>
        <sz val="10.0"/>
      </rPr>
      <t>本體即一顆永恆燃燒的恆星</t>
    </r>
    <r>
      <rPr>
        <rFont val="Arial"/>
        <color theme="1"/>
        <sz val="10.0"/>
      </rPr>
      <t>,</t>
    </r>
    <r>
      <rPr>
        <rFont val="Noto Sans CJK SC"/>
        <color theme="1"/>
        <sz val="10.0"/>
      </rPr>
      <t>一念可鑄新星、可熄舊日。</t>
    </r>
  </si>
  <si>
    <t>太素玄鹿</t>
  </si>
  <si>
    <r>
      <rPr>
        <rFont val="Noto Sans CJK SC"/>
        <color theme="1"/>
        <sz val="10.0"/>
      </rPr>
      <t>冰</t>
    </r>
    <r>
      <rPr>
        <rFont val="Arial"/>
        <color theme="1"/>
        <sz val="10.0"/>
      </rPr>
      <t>/</t>
    </r>
    <r>
      <rPr>
        <rFont val="Noto Sans CJK SC"/>
        <color theme="1"/>
        <sz val="10.0"/>
      </rPr>
      <t>時間</t>
    </r>
  </si>
  <si>
    <t>雌性靈獸</t>
  </si>
  <si>
    <r>
      <rPr>
        <rFont val="Noto Sans CJK SC"/>
        <color theme="1"/>
        <sz val="10.0"/>
      </rPr>
      <t>執掌時間之冬的古老神祇</t>
    </r>
    <r>
      <rPr>
        <rFont val="Arial"/>
        <color theme="1"/>
        <sz val="10.0"/>
      </rPr>
      <t>,</t>
    </r>
    <r>
      <rPr>
        <rFont val="Noto Sans CJK SC"/>
        <color theme="1"/>
        <sz val="10.0"/>
      </rPr>
      <t>一聲哀鳴可凍結因果之河</t>
    </r>
    <r>
      <rPr>
        <rFont val="Arial"/>
        <color theme="1"/>
        <sz val="10.0"/>
      </rPr>
      <t>,</t>
    </r>
    <r>
      <rPr>
        <rFont val="Noto Sans CJK SC"/>
        <color theme="1"/>
        <sz val="10.0"/>
      </rPr>
      <t>令命運停擺。</t>
    </r>
  </si>
  <si>
    <t>無始之蝶</t>
  </si>
  <si>
    <r>
      <rPr>
        <rFont val="Noto Sans CJK SC"/>
        <color theme="1"/>
        <sz val="10.0"/>
      </rPr>
      <t>夢</t>
    </r>
    <r>
      <rPr>
        <rFont val="Arial"/>
        <color theme="1"/>
        <sz val="10.0"/>
      </rPr>
      <t>/</t>
    </r>
    <r>
      <rPr>
        <rFont val="Noto Sans CJK SC"/>
        <color theme="1"/>
        <sz val="10.0"/>
      </rPr>
      <t>時間</t>
    </r>
  </si>
  <si>
    <t>雌性精靈</t>
  </si>
  <si>
    <t>夢境界</t>
  </si>
  <si>
    <r>
      <rPr>
        <rFont val="Noto Sans CJK SC"/>
        <color theme="1"/>
        <sz val="10.0"/>
      </rPr>
      <t>一翅是過去、一翅是未來</t>
    </r>
    <r>
      <rPr>
        <rFont val="Arial"/>
        <color theme="1"/>
        <sz val="10.0"/>
      </rPr>
      <t>,</t>
    </r>
    <r>
      <rPr>
        <rFont val="Noto Sans CJK SC"/>
        <color theme="1"/>
        <sz val="10.0"/>
      </rPr>
      <t>本體即是「當下」這一瞬</t>
    </r>
    <r>
      <rPr>
        <rFont val="Arial"/>
        <color theme="1"/>
        <sz val="10.0"/>
      </rPr>
      <t>,</t>
    </r>
    <r>
      <rPr>
        <rFont val="Noto Sans CJK SC"/>
        <color theme="1"/>
        <sz val="10.0"/>
      </rPr>
      <t>翩然之間萬古已逝。</t>
    </r>
  </si>
  <si>
    <t>無極金尊</t>
  </si>
  <si>
    <r>
      <rPr>
        <rFont val="Noto Sans CJK SC"/>
        <color theme="1"/>
        <sz val="10.0"/>
      </rPr>
      <t>土</t>
    </r>
    <r>
      <rPr>
        <rFont val="Arial"/>
        <color theme="1"/>
        <sz val="10.0"/>
      </rPr>
      <t>/</t>
    </r>
    <r>
      <rPr>
        <rFont val="Noto Sans CJK SC"/>
        <color theme="1"/>
        <sz val="10.0"/>
      </rPr>
      <t>須彌</t>
    </r>
  </si>
  <si>
    <t>佛界</t>
  </si>
  <si>
    <r>
      <rPr>
        <rFont val="Noto Sans CJK SC"/>
        <color theme="1"/>
        <sz val="10.0"/>
      </rPr>
      <t>一蟾即一須彌山</t>
    </r>
    <r>
      <rPr>
        <rFont val="Arial"/>
        <color theme="1"/>
        <sz val="10.0"/>
      </rPr>
      <t>,</t>
    </r>
    <r>
      <rPr>
        <rFont val="Noto Sans CJK SC"/>
        <color theme="1"/>
        <sz val="10.0"/>
      </rPr>
      <t>鎮壓六道輪迴出口</t>
    </r>
    <r>
      <rPr>
        <rFont val="Arial"/>
        <color theme="1"/>
        <sz val="10.0"/>
      </rPr>
      <t>,</t>
    </r>
    <r>
      <rPr>
        <rFont val="Noto Sans CJK SC"/>
        <color theme="1"/>
        <sz val="10.0"/>
      </rPr>
      <t>不動如山</t>
    </r>
    <r>
      <rPr>
        <rFont val="Arial"/>
        <color theme="1"/>
        <sz val="10.0"/>
      </rPr>
      <t>,</t>
    </r>
    <r>
      <rPr>
        <rFont val="Noto Sans CJK SC"/>
        <color theme="1"/>
        <sz val="10.0"/>
      </rPr>
      <t>山即天道本身。</t>
    </r>
  </si>
  <si>
    <t>寂之鳴</t>
  </si>
  <si>
    <r>
      <rPr>
        <rFont val="Noto Sans CJK SC"/>
        <color theme="1"/>
        <sz val="10.0"/>
      </rPr>
      <t>風</t>
    </r>
    <r>
      <rPr>
        <rFont val="Arial"/>
        <color theme="1"/>
        <sz val="10.0"/>
      </rPr>
      <t>/</t>
    </r>
    <r>
      <rPr>
        <rFont val="Noto Sans CJK SC"/>
        <color theme="1"/>
        <sz val="10.0"/>
      </rPr>
      <t>寂靜</t>
    </r>
  </si>
  <si>
    <r>
      <rPr>
        <rFont val="Noto Sans CJK SC"/>
        <color theme="1"/>
        <sz val="10.0"/>
      </rPr>
      <t>至音為靜</t>
    </r>
    <r>
      <rPr>
        <rFont val="Arial"/>
        <color theme="1"/>
        <sz val="10.0"/>
      </rPr>
      <t>,</t>
    </r>
    <r>
      <rPr>
        <rFont val="Noto Sans CJK SC"/>
        <color theme="1"/>
        <sz val="10.0"/>
      </rPr>
      <t>一念可令萬籟歸無、令一切「聲音」從未存在過。</t>
    </r>
  </si>
  <si>
    <t>太玄之主</t>
  </si>
  <si>
    <r>
      <rPr>
        <rFont val="Noto Sans CJK SC"/>
        <color theme="1"/>
        <sz val="10.0"/>
      </rPr>
      <t>陰</t>
    </r>
    <r>
      <rPr>
        <rFont val="Arial"/>
        <color theme="1"/>
        <sz val="10.0"/>
      </rPr>
      <t>/</t>
    </r>
    <r>
      <rPr>
        <rFont val="Noto Sans CJK SC"/>
        <color theme="1"/>
        <sz val="10.0"/>
      </rPr>
      <t>終結</t>
    </r>
  </si>
  <si>
    <t>雄性凶獸</t>
  </si>
  <si>
    <t>冥界</t>
  </si>
  <si>
    <r>
      <rPr>
        <rFont val="Noto Sans CJK SC"/>
        <color theme="1"/>
        <sz val="10.0"/>
      </rPr>
      <t>即「終結」本身</t>
    </r>
    <r>
      <rPr>
        <rFont val="Arial"/>
        <color theme="1"/>
        <sz val="10.0"/>
      </rPr>
      <t>,</t>
    </r>
    <r>
      <rPr>
        <rFont val="Noto Sans CJK SC"/>
        <color theme="1"/>
        <sz val="10.0"/>
      </rPr>
      <t>連光陰都無法逃脫其投下的陰影</t>
    </r>
    <r>
      <rPr>
        <rFont val="Arial"/>
        <color theme="1"/>
        <sz val="10.0"/>
      </rPr>
      <t>,</t>
    </r>
    <r>
      <rPr>
        <rFont val="Noto Sans CJK SC"/>
        <color theme="1"/>
        <sz val="10.0"/>
      </rPr>
      <t>死亡之意的具現。</t>
    </r>
  </si>
  <si>
    <t>原始雷霆</t>
  </si>
  <si>
    <r>
      <rPr>
        <rFont val="Noto Sans CJK SC"/>
        <color theme="1"/>
        <sz val="10.0"/>
      </rPr>
      <t>雷</t>
    </r>
    <r>
      <rPr>
        <rFont val="Arial"/>
        <color theme="1"/>
        <sz val="10.0"/>
      </rPr>
      <t>/</t>
    </r>
    <r>
      <rPr>
        <rFont val="Noto Sans CJK SC"/>
        <color theme="1"/>
        <sz val="10.0"/>
      </rPr>
      <t>規則</t>
    </r>
  </si>
  <si>
    <t>中性凶獸</t>
  </si>
  <si>
    <r>
      <rPr>
        <rFont val="Noto Sans CJK SC"/>
        <color theme="1"/>
        <sz val="10.0"/>
      </rPr>
      <t>是「規則」之雷</t>
    </r>
    <r>
      <rPr>
        <rFont val="Arial"/>
        <color theme="1"/>
        <sz val="10.0"/>
      </rPr>
      <t>,</t>
    </r>
    <r>
      <rPr>
        <rFont val="Noto Sans CJK SC"/>
        <color theme="1"/>
        <sz val="10.0"/>
      </rPr>
      <t>能誅心、誅念、誅道</t>
    </r>
    <r>
      <rPr>
        <rFont val="Arial"/>
        <color theme="1"/>
        <sz val="10.0"/>
      </rPr>
      <t>,</t>
    </r>
    <r>
      <rPr>
        <rFont val="Noto Sans CJK SC"/>
        <color theme="1"/>
        <sz val="10.0"/>
      </rPr>
      <t>違天理者一念皆滅。</t>
    </r>
  </si>
  <si>
    <t>無字之龍</t>
  </si>
  <si>
    <r>
      <rPr>
        <rFont val="Noto Sans CJK SC"/>
        <color theme="1"/>
        <sz val="10.0"/>
      </rPr>
      <t>水</t>
    </r>
    <r>
      <rPr>
        <rFont val="Arial"/>
        <color theme="1"/>
        <sz val="10.0"/>
      </rPr>
      <t>/</t>
    </r>
    <r>
      <rPr>
        <rFont val="Noto Sans CJK SC"/>
        <color theme="1"/>
        <sz val="10.0"/>
      </rPr>
      <t>真理</t>
    </r>
  </si>
  <si>
    <t>中性靈獸</t>
  </si>
  <si>
    <r>
      <rPr>
        <rFont val="Noto Sans CJK SC"/>
        <color theme="1"/>
        <sz val="10.0"/>
      </rPr>
      <t>不書不寫不畫</t>
    </r>
    <r>
      <rPr>
        <rFont val="Arial"/>
        <color theme="1"/>
        <sz val="10.0"/>
      </rPr>
      <t>,</t>
    </r>
    <r>
      <rPr>
        <rFont val="Noto Sans CJK SC"/>
        <color theme="1"/>
        <sz val="10.0"/>
      </rPr>
      <t>卻包含一切真理——道</t>
    </r>
    <r>
      <rPr>
        <rFont val="Arial"/>
        <color theme="1"/>
        <sz val="10.0"/>
      </rPr>
      <t>,</t>
    </r>
    <r>
      <rPr>
        <rFont val="Noto Sans CJK SC"/>
        <color theme="1"/>
        <sz val="10.0"/>
      </rPr>
      <t>本不可言。</t>
    </r>
  </si>
  <si>
    <t>恆春之龜</t>
  </si>
  <si>
    <r>
      <rPr>
        <rFont val="Noto Sans CJK SC"/>
        <color theme="1"/>
        <sz val="10.0"/>
      </rPr>
      <t>木</t>
    </r>
    <r>
      <rPr>
        <rFont val="Arial"/>
        <color theme="1"/>
        <sz val="10.0"/>
      </rPr>
      <t>/</t>
    </r>
    <r>
      <rPr>
        <rFont val="Noto Sans CJK SC"/>
        <color theme="1"/>
        <sz val="10.0"/>
      </rPr>
      <t>生長</t>
    </r>
  </si>
  <si>
    <t>自然界</t>
  </si>
  <si>
    <r>
      <rPr>
        <rFont val="Noto Sans CJK SC"/>
        <color theme="1"/>
        <sz val="10.0"/>
      </rPr>
      <t>萬物因其行而生、因其止而朽</t>
    </r>
    <r>
      <rPr>
        <rFont val="Arial"/>
        <color theme="1"/>
        <sz val="10.0"/>
      </rPr>
      <t>,</t>
    </r>
    <r>
      <rPr>
        <rFont val="Noto Sans CJK SC"/>
        <color theme="1"/>
        <sz val="10.0"/>
      </rPr>
      <t>牠走一步即一春一秋。</t>
    </r>
  </si>
  <si>
    <t>無相之狐</t>
  </si>
  <si>
    <r>
      <rPr>
        <rFont val="Noto Sans CJK SC"/>
        <color theme="1"/>
        <sz val="10.0"/>
      </rPr>
      <t>星</t>
    </r>
    <r>
      <rPr>
        <rFont val="Arial"/>
        <color theme="1"/>
        <sz val="10.0"/>
      </rPr>
      <t>/</t>
    </r>
    <r>
      <rPr>
        <rFont val="Noto Sans CJK SC"/>
        <color theme="1"/>
        <sz val="10.0"/>
      </rPr>
      <t>幻惑</t>
    </r>
  </si>
  <si>
    <r>
      <rPr>
        <rFont val="Noto Sans CJK SC"/>
        <color theme="1"/>
        <sz val="10.0"/>
      </rPr>
      <t>無形無相、無名無姓</t>
    </r>
    <r>
      <rPr>
        <rFont val="Arial"/>
        <color theme="1"/>
        <sz val="10.0"/>
      </rPr>
      <t>,</t>
    </r>
    <r>
      <rPr>
        <rFont val="Noto Sans CJK SC"/>
        <color theme="1"/>
        <sz val="10.0"/>
      </rPr>
      <t>夜空中諸星辰皆為其分身。</t>
    </r>
  </si>
  <si>
    <t>鴻濛血皇</t>
  </si>
  <si>
    <r>
      <rPr>
        <rFont val="Noto Sans CJK SC"/>
        <color theme="1"/>
        <sz val="10.0"/>
      </rPr>
      <t>因果</t>
    </r>
    <r>
      <rPr>
        <rFont val="Arial"/>
        <color theme="1"/>
        <sz val="10.0"/>
      </rPr>
      <t>/</t>
    </r>
    <r>
      <rPr>
        <rFont val="Noto Sans CJK SC"/>
        <color theme="1"/>
        <sz val="10.0"/>
      </rPr>
      <t>血</t>
    </r>
  </si>
  <si>
    <t>雌性凶獸</t>
  </si>
  <si>
    <t>魔界</t>
  </si>
  <si>
    <r>
      <rPr>
        <rFont val="Noto Sans CJK SC"/>
        <color theme="1"/>
        <sz val="10.0"/>
      </rPr>
      <t>編織因果之線的血色女皇</t>
    </r>
    <r>
      <rPr>
        <rFont val="Arial"/>
        <color theme="1"/>
        <sz val="10.0"/>
      </rPr>
      <t>,</t>
    </r>
    <r>
      <rPr>
        <rFont val="Noto Sans CJK SC"/>
        <color theme="1"/>
        <sz val="10.0"/>
      </rPr>
      <t>八臂分掌生死姻緣善惡。</t>
    </r>
  </si>
  <si>
    <t>太白劍仙</t>
  </si>
  <si>
    <r>
      <rPr>
        <rFont val="Noto Sans CJK SC"/>
        <color theme="1"/>
        <sz val="10.0"/>
      </rPr>
      <t>劍</t>
    </r>
    <r>
      <rPr>
        <rFont val="Arial"/>
        <color theme="1"/>
        <sz val="10.0"/>
      </rPr>
      <t>/</t>
    </r>
    <r>
      <rPr>
        <rFont val="Noto Sans CJK SC"/>
        <color theme="1"/>
        <sz val="10.0"/>
      </rPr>
      <t>風</t>
    </r>
  </si>
  <si>
    <t>雄性靈獸</t>
  </si>
  <si>
    <r>
      <rPr>
        <rFont val="Noto Sans CJK SC"/>
        <color theme="1"/>
        <sz val="10.0"/>
      </rPr>
      <t>御劍千年的鶴形劍仙</t>
    </r>
    <r>
      <rPr>
        <rFont val="Arial"/>
        <color theme="1"/>
        <sz val="10.0"/>
      </rPr>
      <t>,</t>
    </r>
    <r>
      <rPr>
        <rFont val="Noto Sans CJK SC"/>
        <color theme="1"/>
        <sz val="10.0"/>
      </rPr>
      <t>一聲鶴唳萬劍歸鞘。</t>
    </r>
  </si>
  <si>
    <t>玄黃地母</t>
  </si>
  <si>
    <r>
      <rPr>
        <rFont val="Noto Sans CJK SC"/>
        <color theme="1"/>
        <sz val="10.0"/>
      </rPr>
      <t>土</t>
    </r>
    <r>
      <rPr>
        <rFont val="Arial"/>
        <color theme="1"/>
        <sz val="10.0"/>
      </rPr>
      <t>/</t>
    </r>
    <r>
      <rPr>
        <rFont val="Noto Sans CJK SC"/>
        <color theme="1"/>
        <sz val="10.0"/>
      </rPr>
      <t>生命</t>
    </r>
  </si>
  <si>
    <t>雌性神獸</t>
  </si>
  <si>
    <r>
      <rPr>
        <rFont val="Noto Sans CJK SC"/>
        <color theme="1"/>
        <sz val="10.0"/>
      </rPr>
      <t>黃土之母</t>
    </r>
    <r>
      <rPr>
        <rFont val="Arial"/>
        <color theme="1"/>
        <sz val="10.0"/>
      </rPr>
      <t>,</t>
    </r>
    <r>
      <rPr>
        <rFont val="Noto Sans CJK SC"/>
        <color theme="1"/>
        <sz val="10.0"/>
      </rPr>
      <t>以蛇身蜿蜒大地脈絡</t>
    </r>
    <r>
      <rPr>
        <rFont val="Arial"/>
        <color theme="1"/>
        <sz val="10.0"/>
      </rPr>
      <t>,</t>
    </r>
    <r>
      <rPr>
        <rFont val="Noto Sans CJK SC"/>
        <color theme="1"/>
        <sz val="10.0"/>
      </rPr>
      <t>孕育萬物之始。</t>
    </r>
  </si>
  <si>
    <t>滄溟海尊</t>
  </si>
  <si>
    <r>
      <rPr>
        <rFont val="Noto Sans CJK SC"/>
        <color theme="1"/>
        <sz val="10.0"/>
      </rPr>
      <t>水</t>
    </r>
    <r>
      <rPr>
        <rFont val="Arial"/>
        <color theme="1"/>
        <sz val="10.0"/>
      </rPr>
      <t>/</t>
    </r>
    <r>
      <rPr>
        <rFont val="Noto Sans CJK SC"/>
        <color theme="1"/>
        <sz val="10.0"/>
      </rPr>
      <t>海</t>
    </r>
  </si>
  <si>
    <t>中性巨獸</t>
  </si>
  <si>
    <t>海界</t>
  </si>
  <si>
    <r>
      <rPr>
        <rFont val="Noto Sans CJK SC"/>
        <color theme="1"/>
        <sz val="10.0"/>
      </rPr>
      <t>半鯨半鵬的滄海之尊</t>
    </r>
    <r>
      <rPr>
        <rFont val="Arial"/>
        <color theme="1"/>
        <sz val="10.0"/>
      </rPr>
      <t>,</t>
    </r>
    <r>
      <rPr>
        <rFont val="Noto Sans CJK SC"/>
        <color theme="1"/>
        <sz val="10.0"/>
      </rPr>
      <t>一翼覆海</t>
    </r>
    <r>
      <rPr>
        <rFont val="Arial"/>
        <color theme="1"/>
        <sz val="10.0"/>
      </rPr>
      <t>,</t>
    </r>
    <r>
      <rPr>
        <rFont val="Noto Sans CJK SC"/>
        <color theme="1"/>
        <sz val="10.0"/>
      </rPr>
      <t>一翼遮天。</t>
    </r>
  </si>
  <si>
    <t>黃泉孟婆</t>
  </si>
  <si>
    <r>
      <rPr>
        <rFont val="Noto Sans CJK SC"/>
        <color theme="1"/>
        <sz val="10.0"/>
      </rPr>
      <t>輪迴</t>
    </r>
    <r>
      <rPr>
        <rFont val="Arial"/>
        <color theme="1"/>
        <sz val="10.0"/>
      </rPr>
      <t>/</t>
    </r>
    <r>
      <rPr>
        <rFont val="Noto Sans CJK SC"/>
        <color theme="1"/>
        <sz val="10.0"/>
      </rPr>
      <t>亡</t>
    </r>
  </si>
  <si>
    <t>雌性亡靈</t>
  </si>
  <si>
    <r>
      <rPr>
        <rFont val="Noto Sans CJK SC"/>
        <color theme="1"/>
        <sz val="10.0"/>
      </rPr>
      <t>守護黃泉路的引魂者</t>
    </r>
    <r>
      <rPr>
        <rFont val="Arial"/>
        <color theme="1"/>
        <sz val="10.0"/>
      </rPr>
      <t>,</t>
    </r>
    <r>
      <rPr>
        <rFont val="Noto Sans CJK SC"/>
        <color theme="1"/>
        <sz val="10.0"/>
      </rPr>
      <t>一碗忘川斷盡千年情仇。</t>
    </r>
  </si>
  <si>
    <t>紫微天樞</t>
  </si>
  <si>
    <r>
      <rPr>
        <rFont val="Noto Sans CJK SC"/>
        <color theme="1"/>
        <sz val="10.0"/>
      </rPr>
      <t>星</t>
    </r>
    <r>
      <rPr>
        <rFont val="Arial"/>
        <color theme="1"/>
        <sz val="10.0"/>
      </rPr>
      <t>/</t>
    </r>
    <r>
      <rPr>
        <rFont val="Noto Sans CJK SC"/>
        <color theme="1"/>
        <sz val="10.0"/>
      </rPr>
      <t>命</t>
    </r>
  </si>
  <si>
    <t>中性神獸</t>
  </si>
  <si>
    <r>
      <rPr>
        <rFont val="Noto Sans CJK SC"/>
        <color theme="1"/>
        <sz val="10.0"/>
      </rPr>
      <t>北斗之首</t>
    </r>
    <r>
      <rPr>
        <rFont val="Arial"/>
        <color theme="1"/>
        <sz val="10.0"/>
      </rPr>
      <t>,</t>
    </r>
    <r>
      <rPr>
        <rFont val="Noto Sans CJK SC"/>
        <color theme="1"/>
        <sz val="10.0"/>
      </rPr>
      <t>凡其踏過之地命運皆已註定。</t>
    </r>
  </si>
  <si>
    <t>鴻蒙琴尊</t>
  </si>
  <si>
    <r>
      <rPr>
        <rFont val="Noto Sans CJK SC"/>
        <color theme="1"/>
        <sz val="10.0"/>
      </rPr>
      <t>音</t>
    </r>
    <r>
      <rPr>
        <rFont val="Arial"/>
        <color theme="1"/>
        <sz val="10.0"/>
      </rPr>
      <t>/</t>
    </r>
    <r>
      <rPr>
        <rFont val="Noto Sans CJK SC"/>
        <color theme="1"/>
        <sz val="10.0"/>
      </rPr>
      <t>律</t>
    </r>
  </si>
  <si>
    <r>
      <rPr>
        <rFont val="Noto Sans CJK SC"/>
        <color theme="1"/>
        <sz val="10.0"/>
      </rPr>
      <t>撥弄宇宙之弦的太古樂神</t>
    </r>
    <r>
      <rPr>
        <rFont val="Arial"/>
        <color theme="1"/>
        <sz val="10.0"/>
      </rPr>
      <t>,</t>
    </r>
    <r>
      <rPr>
        <rFont val="Noto Sans CJK SC"/>
        <color theme="1"/>
        <sz val="10.0"/>
      </rPr>
      <t>音落即山河重塑。</t>
    </r>
  </si>
  <si>
    <t>業火羅剎</t>
  </si>
  <si>
    <r>
      <rPr>
        <rFont val="Noto Sans CJK SC"/>
        <color theme="1"/>
        <sz val="10.0"/>
      </rPr>
      <t>火</t>
    </r>
    <r>
      <rPr>
        <rFont val="Arial"/>
        <color theme="1"/>
        <sz val="10.0"/>
      </rPr>
      <t>/</t>
    </r>
    <r>
      <rPr>
        <rFont val="Noto Sans CJK SC"/>
        <color theme="1"/>
        <sz val="10.0"/>
      </rPr>
      <t>罰</t>
    </r>
  </si>
  <si>
    <r>
      <rPr>
        <rFont val="Noto Sans CJK SC"/>
        <color theme="1"/>
        <sz val="10.0"/>
      </rPr>
      <t>執掌罪罰之火的四臂夜叉</t>
    </r>
    <r>
      <rPr>
        <rFont val="Arial"/>
        <color theme="1"/>
        <sz val="10.0"/>
      </rPr>
      <t>,</t>
    </r>
    <r>
      <rPr>
        <rFont val="Noto Sans CJK SC"/>
        <color theme="1"/>
        <sz val="10.0"/>
      </rPr>
      <t>鎖鏈所及皆業火焚身。</t>
    </r>
  </si>
  <si>
    <t>太虛鏡君</t>
  </si>
  <si>
    <r>
      <rPr>
        <rFont val="Noto Sans CJK SC"/>
        <color theme="1"/>
        <sz val="10.0"/>
      </rPr>
      <t>虛</t>
    </r>
    <r>
      <rPr>
        <rFont val="Arial"/>
        <color theme="1"/>
        <sz val="10.0"/>
      </rPr>
      <t>/</t>
    </r>
    <r>
      <rPr>
        <rFont val="Noto Sans CJK SC"/>
        <color theme="1"/>
        <sz val="10.0"/>
      </rPr>
      <t>鏡</t>
    </r>
  </si>
  <si>
    <t>中性精靈</t>
  </si>
  <si>
    <t>虛無界</t>
  </si>
  <si>
    <r>
      <rPr>
        <rFont val="Noto Sans CJK SC"/>
        <color theme="1"/>
        <sz val="10.0"/>
      </rPr>
      <t>一身之內藏無數平行世界</t>
    </r>
    <r>
      <rPr>
        <rFont val="Arial"/>
        <color theme="1"/>
        <sz val="10.0"/>
      </rPr>
      <t>,</t>
    </r>
    <r>
      <rPr>
        <rFont val="Noto Sans CJK SC"/>
        <color theme="1"/>
        <sz val="10.0"/>
      </rPr>
      <t>每片碎鏡都是另一個你。</t>
    </r>
  </si>
  <si>
    <t>鴻鈞道祖</t>
  </si>
  <si>
    <r>
      <rPr>
        <rFont val="Noto Sans CJK SC"/>
        <color theme="1"/>
        <sz val="10.0"/>
      </rPr>
      <t>道</t>
    </r>
    <r>
      <rPr>
        <rFont val="Arial"/>
        <color theme="1"/>
        <sz val="10.0"/>
      </rPr>
      <t>/</t>
    </r>
    <r>
      <rPr>
        <rFont val="Noto Sans CJK SC"/>
        <color theme="1"/>
        <sz val="10.0"/>
      </rPr>
      <t>本源</t>
    </r>
  </si>
  <si>
    <t>中性至尊</t>
  </si>
  <si>
    <r>
      <rPr>
        <rFont val="Noto Sans CJK SC"/>
        <color theme="1"/>
        <sz val="10.0"/>
      </rPr>
      <t>三清之師、萬神之祖</t>
    </r>
    <r>
      <rPr>
        <rFont val="Arial"/>
        <color theme="1"/>
        <sz val="10.0"/>
      </rPr>
      <t>,</t>
    </r>
    <r>
      <rPr>
        <rFont val="Noto Sans CJK SC"/>
        <color theme="1"/>
        <sz val="10.0"/>
      </rPr>
      <t>演化天地大道於一念之間。</t>
    </r>
  </si>
  <si>
    <t>燭龍幽冥</t>
  </si>
  <si>
    <r>
      <rPr>
        <rFont val="Noto Sans CJK SC"/>
        <color theme="1"/>
        <sz val="10.0"/>
      </rPr>
      <t>晝夜</t>
    </r>
    <r>
      <rPr>
        <rFont val="Arial"/>
        <color theme="1"/>
        <sz val="10.0"/>
      </rPr>
      <t>/</t>
    </r>
    <r>
      <rPr>
        <rFont val="Noto Sans CJK SC"/>
        <color theme="1"/>
        <sz val="10.0"/>
      </rPr>
      <t>陰陽</t>
    </r>
  </si>
  <si>
    <r>
      <rPr>
        <rFont val="Noto Sans CJK SC"/>
        <color theme="1"/>
        <sz val="10.0"/>
      </rPr>
      <t>雙首之龍</t>
    </r>
    <r>
      <rPr>
        <rFont val="Arial"/>
        <color theme="1"/>
        <sz val="10.0"/>
      </rPr>
      <t>,</t>
    </r>
    <r>
      <rPr>
        <rFont val="Noto Sans CJK SC"/>
        <color theme="1"/>
        <sz val="10.0"/>
      </rPr>
      <t>睜眼為晝閉眼為夜</t>
    </r>
    <r>
      <rPr>
        <rFont val="Arial"/>
        <color theme="1"/>
        <sz val="10.0"/>
      </rPr>
      <t>,</t>
    </r>
    <r>
      <rPr>
        <rFont val="Noto Sans CJK SC"/>
        <color theme="1"/>
        <sz val="10.0"/>
      </rPr>
      <t>司掌晝夜更迭。</t>
    </r>
  </si>
  <si>
    <t>噬天饕餮</t>
  </si>
  <si>
    <r>
      <rPr>
        <rFont val="Noto Sans CJK SC"/>
        <color theme="1"/>
        <sz val="10.0"/>
      </rPr>
      <t>貪</t>
    </r>
    <r>
      <rPr>
        <rFont val="Arial"/>
        <color theme="1"/>
        <sz val="10.0"/>
      </rPr>
      <t>/</t>
    </r>
    <r>
      <rPr>
        <rFont val="Noto Sans CJK SC"/>
        <color theme="1"/>
        <sz val="10.0"/>
      </rPr>
      <t>古</t>
    </r>
  </si>
  <si>
    <r>
      <rPr>
        <rFont val="Noto Sans CJK SC"/>
        <color theme="1"/>
        <sz val="10.0"/>
      </rPr>
      <t>上古凶獸之首</t>
    </r>
    <r>
      <rPr>
        <rFont val="Arial"/>
        <color theme="1"/>
        <sz val="10.0"/>
      </rPr>
      <t>,</t>
    </r>
    <r>
      <rPr>
        <rFont val="Noto Sans CJK SC"/>
        <color theme="1"/>
        <sz val="10.0"/>
      </rPr>
      <t>一張巨口可吞日月星辰。</t>
    </r>
  </si>
  <si>
    <t>翠羽鸞王</t>
  </si>
  <si>
    <r>
      <rPr>
        <rFont val="Noto Sans CJK SC"/>
        <color theme="1"/>
        <sz val="10.0"/>
      </rPr>
      <t>木</t>
    </r>
    <r>
      <rPr>
        <rFont val="Arial"/>
        <color theme="1"/>
        <sz val="10.0"/>
      </rPr>
      <t>/</t>
    </r>
    <r>
      <rPr>
        <rFont val="Noto Sans CJK SC"/>
        <color theme="1"/>
        <sz val="10.0"/>
      </rPr>
      <t>靈</t>
    </r>
  </si>
  <si>
    <r>
      <rPr>
        <rFont val="Noto Sans CJK SC"/>
        <color theme="1"/>
        <sz val="10.0"/>
      </rPr>
      <t>翠羽鸞王</t>
    </r>
    <r>
      <rPr>
        <rFont val="Arial"/>
        <color theme="1"/>
        <sz val="10.0"/>
      </rPr>
      <t>,</t>
    </r>
    <r>
      <rPr>
        <rFont val="Noto Sans CJK SC"/>
        <color theme="1"/>
        <sz val="10.0"/>
      </rPr>
      <t>鳴聲一出</t>
    </r>
    <r>
      <rPr>
        <rFont val="Arial"/>
        <color theme="1"/>
        <sz val="10.0"/>
      </rPr>
      <t>,</t>
    </r>
    <r>
      <rPr>
        <rFont val="Noto Sans CJK SC"/>
        <color theme="1"/>
        <sz val="10.0"/>
      </rPr>
      <t>可解百毒、可化百邪。</t>
    </r>
  </si>
  <si>
    <t>玄武不動</t>
  </si>
  <si>
    <r>
      <rPr>
        <rFont val="Noto Sans CJK SC"/>
        <color theme="1"/>
        <sz val="10.0"/>
      </rPr>
      <t>防禦</t>
    </r>
    <r>
      <rPr>
        <rFont val="Arial"/>
        <color theme="1"/>
        <sz val="10.0"/>
      </rPr>
      <t>/</t>
    </r>
    <r>
      <rPr>
        <rFont val="Noto Sans CJK SC"/>
        <color theme="1"/>
        <sz val="10.0"/>
      </rPr>
      <t>北方</t>
    </r>
  </si>
  <si>
    <t>雄性聖獸</t>
  </si>
  <si>
    <r>
      <rPr>
        <rFont val="Noto Sans CJK SC"/>
        <color theme="1"/>
        <sz val="10.0"/>
      </rPr>
      <t>北方守護聖獸</t>
    </r>
    <r>
      <rPr>
        <rFont val="Arial"/>
        <color theme="1"/>
        <sz val="10.0"/>
      </rPr>
      <t>,</t>
    </r>
    <r>
      <rPr>
        <rFont val="Noto Sans CJK SC"/>
        <color theme="1"/>
        <sz val="10.0"/>
      </rPr>
      <t>龜甲蛇尾</t>
    </r>
    <r>
      <rPr>
        <rFont val="Arial"/>
        <color theme="1"/>
        <sz val="10.0"/>
      </rPr>
      <t>,</t>
    </r>
    <r>
      <rPr>
        <rFont val="Noto Sans CJK SC"/>
        <color theme="1"/>
        <sz val="10.0"/>
      </rPr>
      <t>鎮守極北寒淵。</t>
    </r>
  </si>
  <si>
    <t>烈陽火犼</t>
  </si>
  <si>
    <r>
      <rPr>
        <rFont val="Noto Sans CJK SC"/>
        <color theme="1"/>
        <sz val="10.0"/>
      </rPr>
      <t>火</t>
    </r>
    <r>
      <rPr>
        <rFont val="Arial"/>
        <color theme="1"/>
        <sz val="10.0"/>
      </rPr>
      <t>/</t>
    </r>
    <r>
      <rPr>
        <rFont val="Noto Sans CJK SC"/>
        <color theme="1"/>
        <sz val="10.0"/>
      </rPr>
      <t>凶</t>
    </r>
  </si>
  <si>
    <r>
      <rPr>
        <rFont val="Noto Sans CJK SC"/>
        <color theme="1"/>
        <sz val="10.0"/>
      </rPr>
      <t>上古火犼</t>
    </r>
    <r>
      <rPr>
        <rFont val="Arial"/>
        <color theme="1"/>
        <sz val="10.0"/>
      </rPr>
      <t>,</t>
    </r>
    <r>
      <rPr>
        <rFont val="Noto Sans CJK SC"/>
        <color theme="1"/>
        <sz val="10.0"/>
      </rPr>
      <t>所到之處草木盡焚</t>
    </r>
    <r>
      <rPr>
        <rFont val="Arial"/>
        <color theme="1"/>
        <sz val="10.0"/>
      </rPr>
      <t>,</t>
    </r>
    <r>
      <rPr>
        <rFont val="Noto Sans CJK SC"/>
        <color theme="1"/>
        <sz val="10.0"/>
      </rPr>
      <t>連神仙坐騎都怕牠三分。</t>
    </r>
  </si>
  <si>
    <t>雪魄白虎</t>
  </si>
  <si>
    <r>
      <rPr>
        <rFont val="Noto Sans CJK SC"/>
        <color theme="1"/>
        <sz val="10.0"/>
      </rPr>
      <t>冰</t>
    </r>
    <r>
      <rPr>
        <rFont val="Arial"/>
        <color theme="1"/>
        <sz val="10.0"/>
      </rPr>
      <t>/</t>
    </r>
    <r>
      <rPr>
        <rFont val="Noto Sans CJK SC"/>
        <color theme="1"/>
        <sz val="10.0"/>
      </rPr>
      <t>西方</t>
    </r>
  </si>
  <si>
    <r>
      <rPr>
        <rFont val="Noto Sans CJK SC"/>
        <color theme="1"/>
        <sz val="10.0"/>
      </rPr>
      <t>西方守護聖獸</t>
    </r>
    <r>
      <rPr>
        <rFont val="Arial"/>
        <color theme="1"/>
        <sz val="10.0"/>
      </rPr>
      <t>,</t>
    </r>
    <r>
      <rPr>
        <rFont val="Noto Sans CJK SC"/>
        <color theme="1"/>
        <sz val="10.0"/>
      </rPr>
      <t>雪魄為魂</t>
    </r>
    <r>
      <rPr>
        <rFont val="Arial"/>
        <color theme="1"/>
        <sz val="10.0"/>
      </rPr>
      <t>,</t>
    </r>
    <r>
      <rPr>
        <rFont val="Noto Sans CJK SC"/>
        <color theme="1"/>
        <sz val="10.0"/>
      </rPr>
      <t>一嘯可凍千里。</t>
    </r>
  </si>
  <si>
    <t>朱雀涅槃</t>
  </si>
  <si>
    <r>
      <rPr>
        <rFont val="Noto Sans CJK SC"/>
        <color theme="1"/>
        <sz val="10.0"/>
      </rPr>
      <t>火</t>
    </r>
    <r>
      <rPr>
        <rFont val="Arial"/>
        <color theme="1"/>
        <sz val="10.0"/>
      </rPr>
      <t>/</t>
    </r>
    <r>
      <rPr>
        <rFont val="Noto Sans CJK SC"/>
        <color theme="1"/>
        <sz val="10.0"/>
      </rPr>
      <t>南方</t>
    </r>
  </si>
  <si>
    <t>雌性聖獸</t>
  </si>
  <si>
    <r>
      <rPr>
        <rFont val="Noto Sans CJK SC"/>
        <color theme="1"/>
        <sz val="10.0"/>
      </rPr>
      <t>南方守護聖獸</t>
    </r>
    <r>
      <rPr>
        <rFont val="Arial"/>
        <color theme="1"/>
        <sz val="10.0"/>
      </rPr>
      <t>,</t>
    </r>
    <r>
      <rPr>
        <rFont val="Noto Sans CJK SC"/>
        <color theme="1"/>
        <sz val="10.0"/>
      </rPr>
      <t>浴火重生</t>
    </r>
    <r>
      <rPr>
        <rFont val="Arial"/>
        <color theme="1"/>
        <sz val="10.0"/>
      </rPr>
      <t>,</t>
    </r>
    <r>
      <rPr>
        <rFont val="Noto Sans CJK SC"/>
        <color theme="1"/>
        <sz val="10.0"/>
      </rPr>
      <t>生生不息。</t>
    </r>
  </si>
  <si>
    <t>青龍御海</t>
  </si>
  <si>
    <r>
      <rPr>
        <rFont val="Noto Sans CJK SC"/>
        <color theme="1"/>
        <sz val="10.0"/>
      </rPr>
      <t>水</t>
    </r>
    <r>
      <rPr>
        <rFont val="Arial"/>
        <color theme="1"/>
        <sz val="10.0"/>
      </rPr>
      <t>/</t>
    </r>
    <r>
      <rPr>
        <rFont val="Noto Sans CJK SC"/>
        <color theme="1"/>
        <sz val="10.0"/>
      </rPr>
      <t>東方</t>
    </r>
  </si>
  <si>
    <r>
      <rPr>
        <rFont val="Noto Sans CJK SC"/>
        <color theme="1"/>
        <sz val="10.0"/>
      </rPr>
      <t>東方守護聖獸</t>
    </r>
    <r>
      <rPr>
        <rFont val="Arial"/>
        <color theme="1"/>
        <sz val="10.0"/>
      </rPr>
      <t>,</t>
    </r>
    <r>
      <rPr>
        <rFont val="Noto Sans CJK SC"/>
        <color theme="1"/>
        <sz val="10.0"/>
      </rPr>
      <t>興雲布雨</t>
    </r>
    <r>
      <rPr>
        <rFont val="Arial"/>
        <color theme="1"/>
        <sz val="10.0"/>
      </rPr>
      <t>,</t>
    </r>
    <r>
      <rPr>
        <rFont val="Noto Sans CJK SC"/>
        <color theme="1"/>
        <sz val="10.0"/>
      </rPr>
      <t>執掌東海風浪。</t>
    </r>
  </si>
  <si>
    <t>黃麟鎮中</t>
  </si>
  <si>
    <r>
      <rPr>
        <rFont val="Noto Sans CJK SC"/>
        <color theme="1"/>
        <sz val="10.0"/>
      </rPr>
      <t>土</t>
    </r>
    <r>
      <rPr>
        <rFont val="Arial"/>
        <color theme="1"/>
        <sz val="10.0"/>
      </rPr>
      <t>/</t>
    </r>
    <r>
      <rPr>
        <rFont val="Noto Sans CJK SC"/>
        <color theme="1"/>
        <sz val="10.0"/>
      </rPr>
      <t>中央</t>
    </r>
  </si>
  <si>
    <r>
      <rPr>
        <rFont val="Noto Sans CJK SC"/>
        <color theme="1"/>
        <sz val="10.0"/>
      </rPr>
      <t>中央守護聖獸</t>
    </r>
    <r>
      <rPr>
        <rFont val="Arial"/>
        <color theme="1"/>
        <sz val="10.0"/>
      </rPr>
      <t>,</t>
    </r>
    <r>
      <rPr>
        <rFont val="Noto Sans CJK SC"/>
        <color theme="1"/>
        <sz val="10.0"/>
      </rPr>
      <t>黃麟落地</t>
    </r>
    <r>
      <rPr>
        <rFont val="Arial"/>
        <color theme="1"/>
        <sz val="10.0"/>
      </rPr>
      <t>,</t>
    </r>
    <r>
      <rPr>
        <rFont val="Noto Sans CJK SC"/>
        <color theme="1"/>
        <sz val="10.0"/>
      </rPr>
      <t>四方歸定。</t>
    </r>
  </si>
  <si>
    <t>鯨歌深淵</t>
  </si>
  <si>
    <r>
      <rPr>
        <rFont val="Noto Sans CJK SC"/>
        <color theme="1"/>
        <sz val="10.0"/>
      </rPr>
      <t>水</t>
    </r>
    <r>
      <rPr>
        <rFont val="Arial"/>
        <color theme="1"/>
        <sz val="10.0"/>
      </rPr>
      <t>/</t>
    </r>
    <r>
      <rPr>
        <rFont val="Noto Sans CJK SC"/>
        <color theme="1"/>
        <sz val="10.0"/>
      </rPr>
      <t>深海</t>
    </r>
  </si>
  <si>
    <r>
      <rPr>
        <rFont val="Noto Sans CJK SC"/>
        <color theme="1"/>
        <sz val="10.0"/>
      </rPr>
      <t>深淵之底吟唱古歌的巨鯨</t>
    </r>
    <r>
      <rPr>
        <rFont val="Arial"/>
        <color theme="1"/>
        <sz val="10.0"/>
      </rPr>
      <t>,</t>
    </r>
    <r>
      <rPr>
        <rFont val="Noto Sans CJK SC"/>
        <color theme="1"/>
        <sz val="10.0"/>
      </rPr>
      <t>歌聲可引魂入海。</t>
    </r>
  </si>
  <si>
    <t>山君斑斕</t>
  </si>
  <si>
    <r>
      <rPr>
        <rFont val="Noto Sans CJK SC"/>
        <color theme="1"/>
        <sz val="10.0"/>
      </rPr>
      <t>土</t>
    </r>
    <r>
      <rPr>
        <rFont val="Arial"/>
        <color theme="1"/>
        <sz val="10.0"/>
      </rPr>
      <t>/</t>
    </r>
    <r>
      <rPr>
        <rFont val="Noto Sans CJK SC"/>
        <color theme="1"/>
        <sz val="10.0"/>
      </rPr>
      <t>山林</t>
    </r>
  </si>
  <si>
    <r>
      <rPr>
        <rFont val="Noto Sans CJK SC"/>
        <color theme="1"/>
        <sz val="10.0"/>
      </rPr>
      <t>山林之王</t>
    </r>
    <r>
      <rPr>
        <rFont val="Arial"/>
        <color theme="1"/>
        <sz val="10.0"/>
      </rPr>
      <t>,</t>
    </r>
    <r>
      <rPr>
        <rFont val="Noto Sans CJK SC"/>
        <color theme="1"/>
        <sz val="10.0"/>
      </rPr>
      <t>一嘯震百獸</t>
    </r>
    <r>
      <rPr>
        <rFont val="Arial"/>
        <color theme="1"/>
        <sz val="10.0"/>
      </rPr>
      <t>,</t>
    </r>
    <r>
      <rPr>
        <rFont val="Noto Sans CJK SC"/>
        <color theme="1"/>
        <sz val="10.0"/>
      </rPr>
      <t>虎紋暗藏古老符文。</t>
    </r>
  </si>
  <si>
    <t>銀月天狼</t>
  </si>
  <si>
    <r>
      <rPr>
        <rFont val="Noto Sans CJK SC"/>
        <color theme="1"/>
        <sz val="10.0"/>
      </rPr>
      <t>月</t>
    </r>
    <r>
      <rPr>
        <rFont val="Arial"/>
        <color theme="1"/>
        <sz val="10.0"/>
      </rPr>
      <t>/</t>
    </r>
    <r>
      <rPr>
        <rFont val="Noto Sans CJK SC"/>
        <color theme="1"/>
        <sz val="10.0"/>
      </rPr>
      <t>夜</t>
    </r>
  </si>
  <si>
    <t>夜界</t>
  </si>
  <si>
    <r>
      <rPr>
        <rFont val="Noto Sans CJK SC"/>
        <color theme="1"/>
        <sz val="10.0"/>
      </rPr>
      <t>月光化身的銀狼</t>
    </r>
    <r>
      <rPr>
        <rFont val="Arial"/>
        <color theme="1"/>
        <sz val="10.0"/>
      </rPr>
      <t>,</t>
    </r>
    <r>
      <rPr>
        <rFont val="Noto Sans CJK SC"/>
        <color theme="1"/>
        <sz val="10.0"/>
      </rPr>
      <t>於滿月之夜化作星河奔騰。</t>
    </r>
  </si>
  <si>
    <t>蝕日金烏</t>
  </si>
  <si>
    <r>
      <rPr>
        <rFont val="Noto Sans CJK SC"/>
        <color theme="1"/>
        <sz val="10.0"/>
      </rPr>
      <t>日</t>
    </r>
    <r>
      <rPr>
        <rFont val="Arial"/>
        <color theme="1"/>
        <sz val="10.0"/>
      </rPr>
      <t>/</t>
    </r>
    <r>
      <rPr>
        <rFont val="Noto Sans CJK SC"/>
        <color theme="1"/>
        <sz val="10.0"/>
      </rPr>
      <t>光</t>
    </r>
  </si>
  <si>
    <r>
      <rPr>
        <rFont val="Noto Sans CJK SC"/>
        <color theme="1"/>
        <sz val="10.0"/>
      </rPr>
      <t>棲息於太陽中的三足神鳥</t>
    </r>
    <r>
      <rPr>
        <rFont val="Arial"/>
        <color theme="1"/>
        <sz val="10.0"/>
      </rPr>
      <t>,</t>
    </r>
    <r>
      <rPr>
        <rFont val="Noto Sans CJK SC"/>
        <color theme="1"/>
        <sz val="10.0"/>
      </rPr>
      <t>展翅可遮蔽日光。</t>
    </r>
  </si>
  <si>
    <t>玉兔搗藥</t>
  </si>
  <si>
    <r>
      <rPr>
        <rFont val="Noto Sans CJK SC"/>
        <color theme="1"/>
        <sz val="10.0"/>
      </rPr>
      <t>月</t>
    </r>
    <r>
      <rPr>
        <rFont val="Arial"/>
        <color theme="1"/>
        <sz val="10.0"/>
      </rPr>
      <t>/</t>
    </r>
    <r>
      <rPr>
        <rFont val="Noto Sans CJK SC"/>
        <color theme="1"/>
        <sz val="10.0"/>
      </rPr>
      <t>藥</t>
    </r>
  </si>
  <si>
    <t>月宮</t>
  </si>
  <si>
    <r>
      <rPr>
        <rFont val="Noto Sans CJK SC"/>
        <color theme="1"/>
        <sz val="10.0"/>
      </rPr>
      <t>廣寒宮中為嫦娥搗藥的玉兔</t>
    </r>
    <r>
      <rPr>
        <rFont val="Arial"/>
        <color theme="1"/>
        <sz val="10.0"/>
      </rPr>
      <t>,</t>
    </r>
    <r>
      <rPr>
        <rFont val="Noto Sans CJK SC"/>
        <color theme="1"/>
        <sz val="10.0"/>
      </rPr>
      <t>持杵一搗萬病皆消。</t>
    </r>
  </si>
  <si>
    <t>雷澤應龍</t>
  </si>
  <si>
    <r>
      <rPr>
        <rFont val="Noto Sans CJK SC"/>
        <color theme="1"/>
        <sz val="10.0"/>
      </rPr>
      <t>雷</t>
    </r>
    <r>
      <rPr>
        <rFont val="Arial"/>
        <color theme="1"/>
        <sz val="10.0"/>
      </rPr>
      <t>/</t>
    </r>
    <r>
      <rPr>
        <rFont val="Noto Sans CJK SC"/>
        <color theme="1"/>
        <sz val="10.0"/>
      </rPr>
      <t>翼龍</t>
    </r>
  </si>
  <si>
    <t>雄性神獸</t>
  </si>
  <si>
    <r>
      <rPr>
        <rFont val="Noto Sans CJK SC"/>
        <color theme="1"/>
        <sz val="10.0"/>
      </rPr>
      <t>上古翼龍</t>
    </r>
    <r>
      <rPr>
        <rFont val="Arial"/>
        <color theme="1"/>
        <sz val="10.0"/>
      </rPr>
      <t>,</t>
    </r>
    <r>
      <rPr>
        <rFont val="Noto Sans CJK SC"/>
        <color theme="1"/>
        <sz val="10.0"/>
      </rPr>
      <t>助黃帝戰蚩尤</t>
    </r>
    <r>
      <rPr>
        <rFont val="Arial"/>
        <color theme="1"/>
        <sz val="10.0"/>
      </rPr>
      <t>,</t>
    </r>
    <r>
      <rPr>
        <rFont val="Noto Sans CJK SC"/>
        <color theme="1"/>
        <sz val="10.0"/>
      </rPr>
      <t>雷澤為其誕生之地。</t>
    </r>
  </si>
  <si>
    <t>蜃樓海妖</t>
  </si>
  <si>
    <r>
      <rPr>
        <rFont val="Noto Sans CJK SC"/>
        <color theme="1"/>
        <sz val="10.0"/>
      </rPr>
      <t>幻</t>
    </r>
    <r>
      <rPr>
        <rFont val="Arial"/>
        <color theme="1"/>
        <sz val="10.0"/>
      </rPr>
      <t>/</t>
    </r>
    <r>
      <rPr>
        <rFont val="Noto Sans CJK SC"/>
        <color theme="1"/>
        <sz val="10.0"/>
      </rPr>
      <t>海</t>
    </r>
  </si>
  <si>
    <r>
      <rPr>
        <rFont val="Noto Sans CJK SC"/>
        <color theme="1"/>
        <sz val="10.0"/>
      </rPr>
      <t>深海之蜃</t>
    </r>
    <r>
      <rPr>
        <rFont val="Arial"/>
        <color theme="1"/>
        <sz val="10.0"/>
      </rPr>
      <t>,</t>
    </r>
    <r>
      <rPr>
        <rFont val="Noto Sans CJK SC"/>
        <color theme="1"/>
        <sz val="10.0"/>
      </rPr>
      <t>呼吸間吐出整座虛幻城池。</t>
    </r>
  </si>
  <si>
    <t>神荼鬱壘</t>
  </si>
  <si>
    <r>
      <rPr>
        <rFont val="Noto Sans CJK SC"/>
        <color theme="1"/>
        <sz val="10.0"/>
      </rPr>
      <t>守</t>
    </r>
    <r>
      <rPr>
        <rFont val="Arial"/>
        <color theme="1"/>
        <sz val="10.0"/>
      </rPr>
      <t>/</t>
    </r>
    <r>
      <rPr>
        <rFont val="Noto Sans CJK SC"/>
        <color theme="1"/>
        <sz val="10.0"/>
      </rPr>
      <t>門</t>
    </r>
  </si>
  <si>
    <t>人界</t>
  </si>
  <si>
    <r>
      <rPr>
        <rFont val="Noto Sans CJK SC"/>
        <color theme="1"/>
        <sz val="10.0"/>
      </rPr>
      <t>上古驅鬼之神</t>
    </r>
    <r>
      <rPr>
        <rFont val="Arial"/>
        <color theme="1"/>
        <sz val="10.0"/>
      </rPr>
      <t>,</t>
    </r>
    <r>
      <rPr>
        <rFont val="Noto Sans CJK SC"/>
        <color theme="1"/>
        <sz val="10.0"/>
      </rPr>
      <t>駐守鬼門</t>
    </r>
    <r>
      <rPr>
        <rFont val="Arial"/>
        <color theme="1"/>
        <sz val="10.0"/>
      </rPr>
      <t>,</t>
    </r>
    <r>
      <rPr>
        <rFont val="Noto Sans CJK SC"/>
        <color theme="1"/>
        <sz val="10.0"/>
      </rPr>
      <t>合體為雙首神獸。</t>
    </r>
  </si>
  <si>
    <t>蠱蟲毒尊</t>
  </si>
  <si>
    <r>
      <rPr>
        <rFont val="Noto Sans CJK SC"/>
        <color theme="1"/>
        <sz val="10.0"/>
      </rPr>
      <t>毒</t>
    </r>
    <r>
      <rPr>
        <rFont val="Arial"/>
        <color theme="1"/>
        <sz val="10.0"/>
      </rPr>
      <t>/</t>
    </r>
    <r>
      <rPr>
        <rFont val="Noto Sans CJK SC"/>
        <color theme="1"/>
        <sz val="10.0"/>
      </rPr>
      <t>蠱</t>
    </r>
  </si>
  <si>
    <r>
      <rPr>
        <rFont val="Noto Sans CJK SC"/>
        <color theme="1"/>
        <sz val="10.0"/>
      </rPr>
      <t>南疆蠱師煉化千年的蟲皇</t>
    </r>
    <r>
      <rPr>
        <rFont val="Arial"/>
        <color theme="1"/>
        <sz val="10.0"/>
      </rPr>
      <t>,</t>
    </r>
    <r>
      <rPr>
        <rFont val="Noto Sans CJK SC"/>
        <color theme="1"/>
        <sz val="10.0"/>
      </rPr>
      <t>百毒以其為尊。</t>
    </r>
  </si>
  <si>
    <t>焚天蠍后</t>
  </si>
  <si>
    <r>
      <rPr>
        <rFont val="Noto Sans CJK SC"/>
        <color theme="1"/>
        <sz val="10.0"/>
      </rPr>
      <t>火</t>
    </r>
    <r>
      <rPr>
        <rFont val="Arial"/>
        <color theme="1"/>
        <sz val="10.0"/>
      </rPr>
      <t>/</t>
    </r>
    <r>
      <rPr>
        <rFont val="Noto Sans CJK SC"/>
        <color theme="1"/>
        <sz val="10.0"/>
      </rPr>
      <t>沙漠</t>
    </r>
  </si>
  <si>
    <r>
      <rPr>
        <rFont val="Noto Sans CJK SC"/>
        <color theme="1"/>
        <sz val="10.0"/>
      </rPr>
      <t>西域沙海中的火焰女王</t>
    </r>
    <r>
      <rPr>
        <rFont val="Arial"/>
        <color theme="1"/>
        <sz val="10.0"/>
      </rPr>
      <t>,</t>
    </r>
    <r>
      <rPr>
        <rFont val="Noto Sans CJK SC"/>
        <color theme="1"/>
        <sz val="10.0"/>
      </rPr>
      <t>蠍尾一擊可融鐵化金。</t>
    </r>
  </si>
  <si>
    <t>寒淵冰蟒</t>
  </si>
  <si>
    <r>
      <rPr>
        <rFont val="Noto Sans CJK SC"/>
        <color theme="1"/>
        <sz val="10.0"/>
      </rPr>
      <t>冰</t>
    </r>
    <r>
      <rPr>
        <rFont val="Arial"/>
        <color theme="1"/>
        <sz val="10.0"/>
      </rPr>
      <t>/</t>
    </r>
    <r>
      <rPr>
        <rFont val="Noto Sans CJK SC"/>
        <color theme="1"/>
        <sz val="10.0"/>
      </rPr>
      <t>巨蛇</t>
    </r>
  </si>
  <si>
    <t>極北</t>
  </si>
  <si>
    <r>
      <rPr>
        <rFont val="Noto Sans CJK SC"/>
        <color theme="1"/>
        <sz val="10.0"/>
      </rPr>
      <t>極北寒淵中沉睡萬年的冰蟒</t>
    </r>
    <r>
      <rPr>
        <rFont val="Arial"/>
        <color theme="1"/>
        <sz val="10.0"/>
      </rPr>
      <t>,</t>
    </r>
    <r>
      <rPr>
        <rFont val="Noto Sans CJK SC"/>
        <color theme="1"/>
        <sz val="10.0"/>
      </rPr>
      <t>吐息即冰川。</t>
    </r>
  </si>
  <si>
    <t>林鹿千年</t>
  </si>
  <si>
    <r>
      <rPr>
        <rFont val="Noto Sans CJK SC"/>
        <color theme="1"/>
        <sz val="10.0"/>
      </rPr>
      <t>木</t>
    </r>
    <r>
      <rPr>
        <rFont val="Arial"/>
        <color theme="1"/>
        <sz val="10.0"/>
      </rPr>
      <t>/</t>
    </r>
    <r>
      <rPr>
        <rFont val="Noto Sans CJK SC"/>
        <color theme="1"/>
        <sz val="10.0"/>
      </rPr>
      <t>古</t>
    </r>
  </si>
  <si>
    <r>
      <rPr>
        <rFont val="Noto Sans CJK SC"/>
        <color theme="1"/>
        <sz val="10.0"/>
      </rPr>
      <t>森林深處沉睡千年的古鹿</t>
    </r>
    <r>
      <rPr>
        <rFont val="Arial"/>
        <color theme="1"/>
        <sz val="10.0"/>
      </rPr>
      <t>,</t>
    </r>
    <r>
      <rPr>
        <rFont val="Noto Sans CJK SC"/>
        <color theme="1"/>
        <sz val="10.0"/>
      </rPr>
      <t>角上花開花落即一春秋。</t>
    </r>
  </si>
  <si>
    <t>烽火戰豕</t>
  </si>
  <si>
    <r>
      <rPr>
        <rFont val="Noto Sans CJK SC"/>
        <color theme="1"/>
        <sz val="10.0"/>
      </rPr>
      <t>戰</t>
    </r>
    <r>
      <rPr>
        <rFont val="Arial"/>
        <color theme="1"/>
        <sz val="10.0"/>
      </rPr>
      <t>/</t>
    </r>
    <r>
      <rPr>
        <rFont val="Noto Sans CJK SC"/>
        <color theme="1"/>
        <sz val="10.0"/>
      </rPr>
      <t>鋼鐵</t>
    </r>
  </si>
  <si>
    <r>
      <rPr>
        <rFont val="Noto Sans CJK SC"/>
        <color theme="1"/>
        <sz val="10.0"/>
      </rPr>
      <t>戰場之上的鋼鐵戰豬</t>
    </r>
    <r>
      <rPr>
        <rFont val="Arial"/>
        <color theme="1"/>
        <sz val="10.0"/>
      </rPr>
      <t>,</t>
    </r>
    <r>
      <rPr>
        <rFont val="Noto Sans CJK SC"/>
        <color theme="1"/>
        <sz val="10.0"/>
      </rPr>
      <t>鬃毛即軍旗</t>
    </r>
    <r>
      <rPr>
        <rFont val="Arial"/>
        <color theme="1"/>
        <sz val="10.0"/>
      </rPr>
      <t>,</t>
    </r>
    <r>
      <rPr>
        <rFont val="Noto Sans CJK SC"/>
        <color theme="1"/>
        <sz val="10.0"/>
      </rPr>
      <t>所過寸草不生。</t>
    </r>
  </si>
  <si>
    <t>萬蛇九嬰</t>
  </si>
  <si>
    <r>
      <rPr>
        <rFont val="Noto Sans CJK SC"/>
        <color theme="1"/>
        <sz val="10.0"/>
      </rPr>
      <t>混亂</t>
    </r>
    <r>
      <rPr>
        <rFont val="Arial"/>
        <color theme="1"/>
        <sz val="10.0"/>
      </rPr>
      <t>/</t>
    </r>
    <r>
      <rPr>
        <rFont val="Noto Sans CJK SC"/>
        <color theme="1"/>
        <sz val="10.0"/>
      </rPr>
      <t>水火</t>
    </r>
  </si>
  <si>
    <r>
      <rPr>
        <rFont val="Noto Sans CJK SC"/>
        <color theme="1"/>
        <sz val="10.0"/>
      </rPr>
      <t>九首之蛇</t>
    </r>
    <r>
      <rPr>
        <rFont val="Arial"/>
        <color theme="1"/>
        <sz val="10.0"/>
      </rPr>
      <t>,</t>
    </r>
    <r>
      <rPr>
        <rFont val="Noto Sans CJK SC"/>
        <color theme="1"/>
        <sz val="10.0"/>
      </rPr>
      <t>口能吐火、能噴水、能放雷</t>
    </r>
    <r>
      <rPr>
        <rFont val="Arial"/>
        <color theme="1"/>
        <sz val="10.0"/>
      </rPr>
      <t>,</t>
    </r>
    <r>
      <rPr>
        <rFont val="Noto Sans CJK SC"/>
        <color theme="1"/>
        <sz val="10.0"/>
      </rPr>
      <t>堯帝親手所誅。</t>
    </r>
  </si>
  <si>
    <t>桃源仙猿</t>
  </si>
  <si>
    <r>
      <rPr>
        <rFont val="Noto Sans CJK SC"/>
        <color theme="1"/>
        <sz val="10.0"/>
      </rPr>
      <t>果</t>
    </r>
    <r>
      <rPr>
        <rFont val="Arial"/>
        <color theme="1"/>
        <sz val="10.0"/>
      </rPr>
      <t>/</t>
    </r>
    <r>
      <rPr>
        <rFont val="Noto Sans CJK SC"/>
        <color theme="1"/>
        <sz val="10.0"/>
      </rPr>
      <t>長壽</t>
    </r>
  </si>
  <si>
    <r>
      <rPr>
        <rFont val="Noto Sans CJK SC"/>
        <color theme="1"/>
        <sz val="10.0"/>
      </rPr>
      <t>守護蟠桃園的仙猿</t>
    </r>
    <r>
      <rPr>
        <rFont val="Arial"/>
        <color theme="1"/>
        <sz val="10.0"/>
      </rPr>
      <t>,</t>
    </r>
    <r>
      <rPr>
        <rFont val="Noto Sans CJK SC"/>
        <color theme="1"/>
        <sz val="10.0"/>
      </rPr>
      <t>食桃者長生不老。</t>
    </r>
  </si>
  <si>
    <t>雲海蒼鷹</t>
  </si>
  <si>
    <r>
      <rPr>
        <rFont val="Noto Sans CJK SC"/>
        <color theme="1"/>
        <sz val="10.0"/>
      </rPr>
      <t>風</t>
    </r>
    <r>
      <rPr>
        <rFont val="Arial"/>
        <color theme="1"/>
        <sz val="10.0"/>
      </rPr>
      <t>/</t>
    </r>
    <r>
      <rPr>
        <rFont val="Noto Sans CJK SC"/>
        <color theme="1"/>
        <sz val="10.0"/>
      </rPr>
      <t>雷</t>
    </r>
  </si>
  <si>
    <r>
      <rPr>
        <rFont val="Noto Sans CJK SC"/>
        <color theme="1"/>
        <sz val="10.0"/>
      </rPr>
      <t>雲海之巔的雷霆掠食者</t>
    </r>
    <r>
      <rPr>
        <rFont val="Arial"/>
        <color theme="1"/>
        <sz val="10.0"/>
      </rPr>
      <t>,</t>
    </r>
    <r>
      <rPr>
        <rFont val="Noto Sans CJK SC"/>
        <color theme="1"/>
        <sz val="10.0"/>
      </rPr>
      <t>雙翼一振即電光萬里。</t>
    </r>
  </si>
  <si>
    <t>琉璃化蛇</t>
  </si>
  <si>
    <r>
      <rPr>
        <rFont val="Noto Sans CJK SC"/>
        <color theme="1"/>
        <sz val="10.0"/>
      </rPr>
      <t>寶</t>
    </r>
    <r>
      <rPr>
        <rFont val="Arial"/>
        <color theme="1"/>
        <sz val="10.0"/>
      </rPr>
      <t>/</t>
    </r>
    <r>
      <rPr>
        <rFont val="Noto Sans CJK SC"/>
        <color theme="1"/>
        <sz val="10.0"/>
      </rPr>
      <t>光</t>
    </r>
  </si>
  <si>
    <r>
      <rPr>
        <rFont val="Noto Sans CJK SC"/>
        <color theme="1"/>
        <sz val="10.0"/>
      </rPr>
      <t>通體琉璃的化蛇</t>
    </r>
    <r>
      <rPr>
        <rFont val="Arial"/>
        <color theme="1"/>
        <sz val="10.0"/>
      </rPr>
      <t>,</t>
    </r>
    <r>
      <rPr>
        <rFont val="Noto Sans CJK SC"/>
        <color theme="1"/>
        <sz val="10.0"/>
      </rPr>
      <t>游動時折射七彩光芒</t>
    </r>
    <r>
      <rPr>
        <rFont val="Arial"/>
        <color theme="1"/>
        <sz val="10.0"/>
      </rPr>
      <t>,</t>
    </r>
    <r>
      <rPr>
        <rFont val="Noto Sans CJK SC"/>
        <color theme="1"/>
        <sz val="10.0"/>
      </rPr>
      <t>可化萬物。</t>
    </r>
  </si>
  <si>
    <t>骨魂枯獸</t>
  </si>
  <si>
    <r>
      <rPr>
        <rFont val="Noto Sans CJK SC"/>
        <color theme="1"/>
        <sz val="10.0"/>
      </rPr>
      <t>亡</t>
    </r>
    <r>
      <rPr>
        <rFont val="Arial"/>
        <color theme="1"/>
        <sz val="10.0"/>
      </rPr>
      <t>/</t>
    </r>
    <r>
      <rPr>
        <rFont val="Noto Sans CJK SC"/>
        <color theme="1"/>
        <sz val="10.0"/>
      </rPr>
      <t>骸</t>
    </r>
  </si>
  <si>
    <t>中性亡靈</t>
  </si>
  <si>
    <r>
      <rPr>
        <rFont val="Noto Sans CJK SC"/>
        <color theme="1"/>
        <sz val="10.0"/>
      </rPr>
      <t>千年枯骨凝聚而生的亡靈獸</t>
    </r>
    <r>
      <rPr>
        <rFont val="Arial"/>
        <color theme="1"/>
        <sz val="10.0"/>
      </rPr>
      <t>,</t>
    </r>
    <r>
      <rPr>
        <rFont val="Noto Sans CJK SC"/>
        <color theme="1"/>
        <sz val="10.0"/>
      </rPr>
      <t>執念不滅</t>
    </r>
    <r>
      <rPr>
        <rFont val="Arial"/>
        <color theme="1"/>
        <sz val="10.0"/>
      </rPr>
      <t>,</t>
    </r>
    <r>
      <rPr>
        <rFont val="Noto Sans CJK SC"/>
        <color theme="1"/>
        <sz val="10.0"/>
      </rPr>
      <t>戰至骨碎。</t>
    </r>
  </si>
  <si>
    <t>心魔噬影</t>
  </si>
  <si>
    <r>
      <rPr>
        <rFont val="Noto Sans CJK SC"/>
        <color theme="1"/>
        <sz val="10.0"/>
      </rPr>
      <t>心魔</t>
    </r>
    <r>
      <rPr>
        <rFont val="Arial"/>
        <color theme="1"/>
        <sz val="10.0"/>
      </rPr>
      <t>/</t>
    </r>
    <r>
      <rPr>
        <rFont val="Noto Sans CJK SC"/>
        <color theme="1"/>
        <sz val="10.0"/>
      </rPr>
      <t>暗</t>
    </r>
  </si>
  <si>
    <t>心魔界</t>
  </si>
  <si>
    <r>
      <rPr>
        <rFont val="Noto Sans CJK SC"/>
        <color theme="1"/>
        <sz val="10.0"/>
      </rPr>
      <t>由修士心魔凝聚而成的暗影</t>
    </r>
    <r>
      <rPr>
        <rFont val="Arial"/>
        <color theme="1"/>
        <sz val="10.0"/>
      </rPr>
      <t>,</t>
    </r>
    <r>
      <rPr>
        <rFont val="Noto Sans CJK SC"/>
        <color theme="1"/>
        <sz val="10.0"/>
      </rPr>
      <t>無實體卻能撕碎神魂。</t>
    </r>
  </si>
  <si>
    <t>蓮華淨世</t>
  </si>
  <si>
    <r>
      <rPr>
        <rFont val="Noto Sans CJK SC"/>
        <color theme="1"/>
        <sz val="10.0"/>
      </rPr>
      <t>淨化</t>
    </r>
    <r>
      <rPr>
        <rFont val="Arial"/>
        <color theme="1"/>
        <sz val="10.0"/>
      </rPr>
      <t>/</t>
    </r>
    <r>
      <rPr>
        <rFont val="Noto Sans CJK SC"/>
        <color theme="1"/>
        <sz val="10.0"/>
      </rPr>
      <t>佛</t>
    </r>
  </si>
  <si>
    <t>中性聖獸</t>
  </si>
  <si>
    <r>
      <rPr>
        <rFont val="Noto Sans CJK SC"/>
        <color theme="1"/>
        <sz val="10.0"/>
      </rPr>
      <t>佛前蓮台所化之獸</t>
    </r>
    <r>
      <rPr>
        <rFont val="Arial"/>
        <color theme="1"/>
        <sz val="10.0"/>
      </rPr>
      <t>,</t>
    </r>
    <r>
      <rPr>
        <rFont val="Noto Sans CJK SC"/>
        <color theme="1"/>
        <sz val="10.0"/>
      </rPr>
      <t>所經之處淨化一切污穢業障。</t>
    </r>
  </si>
  <si>
    <t>太極兩儀獸</t>
  </si>
  <si>
    <r>
      <rPr>
        <rFont val="Noto Sans CJK SC"/>
        <color theme="1"/>
        <sz val="10.0"/>
      </rPr>
      <t>陰陽</t>
    </r>
    <r>
      <rPr>
        <rFont val="Arial"/>
        <color theme="1"/>
        <sz val="10.0"/>
      </rPr>
      <t>/</t>
    </r>
    <r>
      <rPr>
        <rFont val="Noto Sans CJK SC"/>
        <color theme="1"/>
        <sz val="10.0"/>
      </rPr>
      <t>終極</t>
    </r>
  </si>
  <si>
    <t>道界</t>
  </si>
  <si>
    <r>
      <rPr>
        <rFont val="Noto Sans CJK SC"/>
        <color theme="1"/>
        <sz val="10.0"/>
      </rPr>
      <t>陰陽分化前的最初混沌</t>
    </r>
    <r>
      <rPr>
        <rFont val="Arial"/>
        <color theme="1"/>
        <sz val="10.0"/>
      </rPr>
      <t>,</t>
    </r>
    <r>
      <rPr>
        <rFont val="Noto Sans CJK SC"/>
        <color theme="1"/>
        <sz val="10.0"/>
      </rPr>
      <t>黑白雙身共一靈</t>
    </r>
    <r>
      <rPr>
        <rFont val="Arial"/>
        <color theme="1"/>
        <sz val="10.0"/>
      </rPr>
      <t>,</t>
    </r>
    <r>
      <rPr>
        <rFont val="Noto Sans CJK SC"/>
        <color theme="1"/>
        <sz val="10.0"/>
      </rPr>
      <t>演化天地萬物。</t>
    </r>
  </si>
  <si>
    <r>
      <rPr>
        <rFont val="Noto Sans CJK SC"/>
        <b/>
        <color rgb="FFFFFFFF"/>
        <sz val="11.0"/>
      </rPr>
      <t xml:space="preserve">完整可複製 </t>
    </r>
    <r>
      <rPr>
        <rFont val="Arial"/>
        <b/>
        <color rgb="FFFFFFFF"/>
        <sz val="11.0"/>
      </rPr>
      <t>Prompt</t>
    </r>
  </si>
  <si>
    <t>A majestic solar lion-dragon beast with golden mane of living flames, red gem on forehead, glowing sun symbols on its body, orange and gold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</si>
  <si>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graceful frost deer beast with crystal-ice antlers, pale blue fur with snowflake patterns, white and ice-blue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</si>
  <si>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giant celestial butterfly beast with feathered insect body, two-tone wings half pink half blue, pastel pink and blue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</si>
  <si>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massive golden mountain toad beast with stone-plated back, glowing dao runes on skin, gold and bronze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</si>
  <si>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serene crystalline phoenix beast with translucent glass-like feathers, pale violet plumage, white and lavender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</si>
  <si>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massive shadow wolf beast with smoky black fur, glowing pale violet eyes, indigo and black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</si>
  <si>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thunder dragon-centipede beast with segmented purple armor body, electric arcs flowing across plates, purple and electric yellow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</si>
  <si>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serpentine eastern dragon beast with flowing ink-black scales, calligraphy stroke patterns on body, black and gold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</si>
  <si>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giant ancient turtle beast with a small cosmic tree growing from its mossy shell, green and pink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</si>
  <si>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celestial nine-tailed fox beast with silver fur, each tail glowing with constellation patterns, silver and navy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</si>
  <si>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regal eight-legged spider beast with crimson exoskeleton, glowing karma rune patterns on back, crimson and black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</si>
  <si>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divine giant crane beast with pure white feathers, glowing sword-blade tail feathers, white and azure blue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</si>
  <si>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massive earth serpent beast with yellow jade scales, mountain range patterns along its back, yellow and brown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</si>
  <si>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hybrid whale-roc beast with massive feathered wings and whale tail, deep blue scales with bioluminescent spots, deep blue and pearl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</si>
  <si>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spectral beast with ghostly bone-white fur, spider lily blooms growing from its mane, dark crimson and bone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</si>
  <si>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celestial qilin beast with deep purple scales, golden antlers etched with constellation patterns, purple and gold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</si>
  <si>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divine phoenix beast with feathers shaped like musical notes, golden ivory plumage, gold and cream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</si>
  <si>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demonic four-legged tiger beast with crimson skin, two black horns, flaming chains around its body, red and black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</si>
  <si>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mystical beast with body covered in mirror-shard plates reflecting light, silver and pale blue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</si>
  <si>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primordial cosmic dragon beast with pure white scales, taiji symbol glowing on forehead, white and rainbow accent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</si>
  <si>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two-headed serpentine dragon beast, one head white with sun symbol, the other black with moon symbol, gold and silver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</si>
  <si>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massive ancient taotie beast with bull horns, lion mane, oversized fanged jaw, deep bronze and dark red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</si>
  <si>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regal emerald luan bird beast with cascading peacock-like tail feathers, jade crown crest, emerald green and gold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</si>
  <si>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massive black tortoise beast with a snake coiled around its shell, ancient stone shell with hexagonal patterns, deep black and blue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</si>
  <si>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fierce lion-dog hybrid beast with flaming red mane, glowing orange claws, bright red and orange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</si>
  <si>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divine white tiger beast with snowy fur, glowing pale blue stripe patterns, ice crystal claws, white and ice-blue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</si>
  <si>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flaming phoenix beast with vermillion feathers, golden flame crown, fiery wings spreading wide, bright red and gold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</si>
  <si>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majestic azure dragon beast with long serpentine body, flowing teal mane, pearl-white horns, azure and teal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</si>
  <si>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golden qilin beast with brilliant amber scales, fire-pattern mane, jade horns, gold and amber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</si>
  <si>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massive deep-sea spirit whale beast with dark blue body, glowing bioluminescent patterns, deep navy and cyan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</si>
  <si>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mighty mountain tiger beast with rich amber fur, bold black stripes shaped like ancient runes, amber and forest green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</si>
  <si>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regal moon wolf beast with shimmering silver fur, crescent moon mark on forehead, silver and moonlit blue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</si>
  <si>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divine three-legged crow beast with golden-black feathers, flaming halo behind head, deep gold and black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</si>
  <si>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graceful celestial rabbit beast with snowy white fur, long flowing ears, jade pestle floating beside it, white and jade green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</si>
  <si>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primordial winged dragon beast with massive feathered dragon wings, golden scales with thunder patterns, gold and electric purple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</si>
  <si>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mystical mirage clam beast with iridescent shell that opens to reveal floating illusion towers, pearl pink and seafoam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</si>
  <si>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pair of guardian beast warriors fused as one twin-headed lion-dog, red and green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</si>
  <si>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sinister centipede beast with iridescent green and purple armored segments, glowing toxic-yellow eyes, poison green and purple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</si>
  <si>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queenly desert scorpion beast with golden chitin armor, glowing flame-tipped tail stinger, gold and crimson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</si>
  <si>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massive ice serpent beast with translucent crystal scales, frost breath leaking from fanged mouth, ice blue and white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</si>
  <si>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serene ancient forest stag beast with antlers like blooming branches, moss covering its back, forest green and warm brown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</si>
  <si>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fearsome battle boar beast with scarred grey hide, iron tusks, war-banner spines along its back, iron grey and crimson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</si>
  <si>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fearsome nine-headed serpent hydra beast with each head a different color, multicolored neon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</si>
  <si>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mystical immortal monkey beast with peach-pink fur, golden eyes, peach branch crown, peach pink and gold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</si>
  <si>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majestic sky eagle beast with steel-grey feathers, lightning-streaked wings, golden talons, grey and electric blue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</si>
  <si>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radiant glass-scaled serpent beast with prismatic crystal body, rainbow refractions across its scales, prismatic rainbow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</si>
  <si>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skeletal lich beast with exposed bone armor, ghostly green flames in its eye sockets, bone white and ghost green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</si>
  <si>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shadowy nightmare beast with multiple shifting faces on its body, ink-black smoky form, glowing crimson eyes, deep black and blood red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</si>
  <si>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holy lotus-themed beast with white and pink petal-like fur, golden halo, lotus blossoms blooming along its back, pink and gold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</si>
  <si>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A supreme yin-yang beast with body split perfectly into black and white halves, glowing taiji symbol on forehead, pure black and white color scheme, mobile gacha game creature design, mythical beast art, anime monster illustration, bold clean lineart, vibrant saturated flat colors, standing pose full body, dynamic silhouette, glowing elemental details, isolated on pure white background, no background, no shadow, --ar 1:1 --niji 6 --s 200</t>
  </si>
  <si>
    <t>稀有度統計</t>
  </si>
  <si>
    <t>陣營統計</t>
  </si>
  <si>
    <t>稀有度</t>
  </si>
  <si>
    <t>數量</t>
  </si>
  <si>
    <t>UR</t>
  </si>
  <si>
    <t>SSR</t>
  </si>
  <si>
    <t>SR</t>
  </si>
  <si>
    <t>R</t>
  </si>
  <si>
    <t>總計</t>
  </si>
  <si>
    <r>
      <rPr>
        <rFont val="Noto Sans CJK SC"/>
        <b/>
        <color rgb="FFFFFFFF"/>
        <sz val="16.0"/>
      </rPr>
      <t xml:space="preserve">仙獸設定表 </t>
    </r>
    <r>
      <rPr>
        <rFont val="Arial"/>
        <b/>
        <color rgb="FFFFFFFF"/>
        <sz val="16.0"/>
      </rPr>
      <t xml:space="preserve">- </t>
    </r>
    <r>
      <rPr>
        <rFont val="Noto Sans CJK SC"/>
        <b/>
        <color rgb="FFFFFFFF"/>
        <sz val="16.0"/>
      </rPr>
      <t>使用說明</t>
    </r>
  </si>
  <si>
    <r>
      <rPr>
        <rFont val="Noto Sans CJK SC"/>
        <b/>
        <color theme="1"/>
        <sz val="11.0"/>
      </rPr>
      <t xml:space="preserve">📑 工作表 </t>
    </r>
    <r>
      <rPr>
        <rFont val="Arial"/>
        <b/>
        <color theme="1"/>
        <sz val="11.0"/>
      </rPr>
      <t>1</t>
    </r>
  </si>
  <si>
    <r>
      <rPr>
        <rFont val="Noto Sans CJK SC"/>
        <color theme="1"/>
        <sz val="11.0"/>
      </rPr>
      <t>「仙獸設定主表」</t>
    </r>
    <r>
      <rPr>
        <rFont val="Arial"/>
        <color theme="1"/>
        <sz val="11.0"/>
      </rPr>
      <t xml:space="preserve">- 50 </t>
    </r>
    <r>
      <rPr>
        <rFont val="Noto Sans CJK SC"/>
        <color theme="1"/>
        <sz val="11.0"/>
      </rPr>
      <t>隻仙獸完整資料</t>
    </r>
    <r>
      <rPr>
        <rFont val="Arial"/>
        <color theme="1"/>
        <sz val="11.0"/>
      </rPr>
      <t>,</t>
    </r>
    <r>
      <rPr>
        <rFont val="Noto Sans CJK SC"/>
        <color theme="1"/>
        <sz val="11.0"/>
      </rPr>
      <t xml:space="preserve">含中英文名、屬性、技能、故事與 </t>
    </r>
    <r>
      <rPr>
        <rFont val="Arial"/>
        <color theme="1"/>
        <sz val="11.0"/>
      </rPr>
      <t xml:space="preserve">Prompt </t>
    </r>
    <r>
      <rPr>
        <rFont val="Noto Sans CJK SC"/>
        <color theme="1"/>
        <sz val="11.0"/>
      </rPr>
      <t>核心句</t>
    </r>
  </si>
  <si>
    <r>
      <rPr>
        <rFont val="Noto Sans CJK SC"/>
        <b/>
        <color theme="1"/>
        <sz val="11.0"/>
      </rPr>
      <t xml:space="preserve">📑 工作表 </t>
    </r>
    <r>
      <rPr>
        <rFont val="Arial"/>
        <b/>
        <color theme="1"/>
        <sz val="11.0"/>
      </rPr>
      <t>2</t>
    </r>
  </si>
  <si>
    <r>
      <rPr>
        <rFont val="Noto Sans CJK SC"/>
        <color theme="1"/>
        <sz val="11.0"/>
      </rPr>
      <t>「</t>
    </r>
    <r>
      <rPr>
        <rFont val="Arial"/>
        <color theme="1"/>
        <sz val="11.0"/>
      </rPr>
      <t>MidjourneyPrompt</t>
    </r>
    <r>
      <rPr>
        <rFont val="Noto Sans CJK SC"/>
        <color theme="1"/>
        <sz val="11.0"/>
      </rPr>
      <t>完整版」</t>
    </r>
    <r>
      <rPr>
        <rFont val="Arial"/>
        <color theme="1"/>
        <sz val="11.0"/>
      </rPr>
      <t xml:space="preserve">- </t>
    </r>
    <r>
      <rPr>
        <rFont val="Noto Sans CJK SC"/>
        <color theme="1"/>
        <sz val="11.0"/>
      </rPr>
      <t xml:space="preserve">可直接複製貼到 </t>
    </r>
    <r>
      <rPr>
        <rFont val="Arial"/>
        <color theme="1"/>
        <sz val="11.0"/>
      </rPr>
      <t xml:space="preserve">MJ </t>
    </r>
    <r>
      <rPr>
        <rFont val="Noto Sans CJK SC"/>
        <color theme="1"/>
        <sz val="11.0"/>
      </rPr>
      <t xml:space="preserve">的完整 </t>
    </r>
    <r>
      <rPr>
        <rFont val="Arial"/>
        <color theme="1"/>
        <sz val="11.0"/>
      </rPr>
      <t>prompt(</t>
    </r>
    <r>
      <rPr>
        <rFont val="Noto Sans CJK SC"/>
        <color theme="1"/>
        <sz val="11.0"/>
      </rPr>
      <t>已加風格與參數</t>
    </r>
    <r>
      <rPr>
        <rFont val="Arial"/>
        <color theme="1"/>
        <sz val="11.0"/>
      </rPr>
      <t>)</t>
    </r>
  </si>
  <si>
    <r>
      <rPr>
        <rFont val="Noto Sans CJK SC"/>
        <b/>
        <color theme="1"/>
        <sz val="11.0"/>
      </rPr>
      <t xml:space="preserve">📑 工作表 </t>
    </r>
    <r>
      <rPr>
        <rFont val="Arial"/>
        <b/>
        <color theme="1"/>
        <sz val="11.0"/>
      </rPr>
      <t>3</t>
    </r>
  </si>
  <si>
    <r>
      <rPr>
        <rFont val="Noto Sans CJK SC"/>
        <color theme="1"/>
        <sz val="11.0"/>
      </rPr>
      <t>「陣營與稀有度統計」</t>
    </r>
    <r>
      <rPr>
        <rFont val="Arial"/>
        <color theme="1"/>
        <sz val="11.0"/>
      </rPr>
      <t xml:space="preserve">- </t>
    </r>
    <r>
      <rPr>
        <rFont val="Noto Sans CJK SC"/>
        <color theme="1"/>
        <sz val="11.0"/>
      </rPr>
      <t xml:space="preserve">用 </t>
    </r>
    <r>
      <rPr>
        <rFont val="Arial"/>
        <color theme="1"/>
        <sz val="11.0"/>
      </rPr>
      <t xml:space="preserve">Excel </t>
    </r>
    <r>
      <rPr>
        <rFont val="Noto Sans CJK SC"/>
        <color theme="1"/>
        <sz val="11.0"/>
      </rPr>
      <t>公式自動計算分布</t>
    </r>
  </si>
  <si>
    <t>💡 稀有度說明</t>
  </si>
  <si>
    <r>
      <rPr>
        <rFont val="Arial"/>
        <color theme="1"/>
        <sz val="11.0"/>
      </rPr>
      <t>UR(</t>
    </r>
    <r>
      <rPr>
        <rFont val="Noto Sans CJK SC"/>
        <color theme="1"/>
        <sz val="11.0"/>
      </rPr>
      <t>究極</t>
    </r>
    <r>
      <rPr>
        <rFont val="Arial"/>
        <color theme="1"/>
        <sz val="11.0"/>
      </rPr>
      <t>) &gt; SSR(</t>
    </r>
    <r>
      <rPr>
        <rFont val="Noto Sans CJK SC"/>
        <color theme="1"/>
        <sz val="11.0"/>
      </rPr>
      <t>史詩</t>
    </r>
    <r>
      <rPr>
        <rFont val="Arial"/>
        <color theme="1"/>
        <sz val="11.0"/>
      </rPr>
      <t>) &gt; SR(</t>
    </r>
    <r>
      <rPr>
        <rFont val="Noto Sans CJK SC"/>
        <color theme="1"/>
        <sz val="11.0"/>
      </rPr>
      <t>稀有</t>
    </r>
    <r>
      <rPr>
        <rFont val="Arial"/>
        <color theme="1"/>
        <sz val="11.0"/>
      </rPr>
      <t>) &gt; R(</t>
    </r>
    <r>
      <rPr>
        <rFont val="Noto Sans CJK SC"/>
        <color theme="1"/>
        <sz val="11.0"/>
      </rPr>
      <t>普通</t>
    </r>
    <r>
      <rPr>
        <rFont val="Arial"/>
        <color theme="1"/>
        <sz val="11.0"/>
      </rPr>
      <t>)</t>
    </r>
  </si>
  <si>
    <r>
      <rPr>
        <rFont val="Arial"/>
        <b/>
        <color theme="1"/>
        <sz val="11.0"/>
      </rPr>
      <t xml:space="preserve">🎨 MJ </t>
    </r>
    <r>
      <rPr>
        <rFont val="Noto Sans CJK SC"/>
        <b/>
        <color theme="1"/>
        <sz val="11.0"/>
      </rPr>
      <t>使用建議</t>
    </r>
  </si>
  <si>
    <r>
      <rPr>
        <rFont val="Arial"/>
        <color theme="1"/>
        <sz val="11.0"/>
      </rPr>
      <t xml:space="preserve">1. </t>
    </r>
    <r>
      <rPr>
        <rFont val="Noto Sans CJK SC"/>
        <color theme="1"/>
        <sz val="11.0"/>
      </rPr>
      <t xml:space="preserve">先跑第 </t>
    </r>
    <r>
      <rPr>
        <rFont val="Arial"/>
        <color theme="1"/>
        <sz val="11.0"/>
      </rPr>
      <t xml:space="preserve">1 </t>
    </r>
    <r>
      <rPr>
        <rFont val="Noto Sans CJK SC"/>
        <color theme="1"/>
        <sz val="11.0"/>
      </rPr>
      <t>號當風格基準</t>
    </r>
    <r>
      <rPr>
        <rFont val="Arial"/>
        <color theme="1"/>
        <sz val="11.0"/>
      </rPr>
      <t>,</t>
    </r>
    <r>
      <rPr>
        <rFont val="Noto Sans CJK SC"/>
        <color theme="1"/>
        <sz val="11.0"/>
      </rPr>
      <t xml:space="preserve">再用 </t>
    </r>
    <r>
      <rPr>
        <rFont val="Arial"/>
        <color theme="1"/>
        <sz val="11.0"/>
      </rPr>
      <t xml:space="preserve">--sref </t>
    </r>
    <r>
      <rPr>
        <rFont val="Noto Sans CJK SC"/>
        <color theme="1"/>
        <sz val="11.0"/>
      </rPr>
      <t>鎖風格</t>
    </r>
  </si>
  <si>
    <r>
      <rPr>
        <rFont val="Arial"/>
        <color theme="1"/>
        <sz val="11.0"/>
      </rPr>
      <t xml:space="preserve">2. </t>
    </r>
    <r>
      <rPr>
        <rFont val="Noto Sans CJK SC"/>
        <color theme="1"/>
        <sz val="11.0"/>
      </rPr>
      <t xml:space="preserve">想加深一致性可加參數 </t>
    </r>
    <r>
      <rPr>
        <rFont val="Arial"/>
        <color theme="1"/>
        <sz val="11.0"/>
      </rPr>
      <t>--sw 100</t>
    </r>
  </si>
  <si>
    <r>
      <rPr>
        <rFont val="Arial"/>
        <color theme="1"/>
        <sz val="11.0"/>
      </rPr>
      <t xml:space="preserve">3. </t>
    </r>
    <r>
      <rPr>
        <rFont val="Noto Sans CJK SC"/>
        <color theme="1"/>
        <sz val="11.0"/>
      </rPr>
      <t>跑出來如果還有殘留背景</t>
    </r>
    <r>
      <rPr>
        <rFont val="Arial"/>
        <color theme="1"/>
        <sz val="11.0"/>
      </rPr>
      <t>,</t>
    </r>
    <r>
      <rPr>
        <rFont val="Noto Sans CJK SC"/>
        <color theme="1"/>
        <sz val="11.0"/>
      </rPr>
      <t xml:space="preserve">在 </t>
    </r>
    <r>
      <rPr>
        <rFont val="Arial"/>
        <color theme="1"/>
        <sz val="11.0"/>
      </rPr>
      <t xml:space="preserve">prompt </t>
    </r>
    <r>
      <rPr>
        <rFont val="Noto Sans CJK SC"/>
        <color theme="1"/>
        <sz val="11.0"/>
      </rPr>
      <t xml:space="preserve">末加 </t>
    </r>
    <r>
      <rPr>
        <rFont val="Arial"/>
        <color theme="1"/>
        <sz val="11.0"/>
      </rPr>
      <t>--no scenery, ground, frame</t>
    </r>
  </si>
  <si>
    <r>
      <rPr>
        <rFont val="Arial"/>
        <color theme="1"/>
        <sz val="11.0"/>
      </rPr>
      <t xml:space="preserve">4. </t>
    </r>
    <r>
      <rPr>
        <rFont val="Noto Sans CJK SC"/>
        <color theme="1"/>
        <sz val="11.0"/>
      </rPr>
      <t xml:space="preserve">想要 </t>
    </r>
    <r>
      <rPr>
        <rFont val="Arial"/>
        <color theme="1"/>
        <sz val="11.0"/>
      </rPr>
      <t xml:space="preserve">Q </t>
    </r>
    <r>
      <rPr>
        <rFont val="Noto Sans CJK SC"/>
        <color theme="1"/>
        <sz val="11.0"/>
      </rPr>
      <t xml:space="preserve">版可改 </t>
    </r>
    <r>
      <rPr>
        <rFont val="Arial"/>
        <color theme="1"/>
        <sz val="11.0"/>
      </rPr>
      <t xml:space="preserve">--niji 6 </t>
    </r>
    <r>
      <rPr>
        <rFont val="Noto Sans CJK SC"/>
        <color theme="1"/>
        <sz val="11.0"/>
      </rPr>
      <t xml:space="preserve">並加 </t>
    </r>
    <r>
      <rPr>
        <rFont val="Arial"/>
        <color theme="1"/>
        <sz val="11.0"/>
      </rPr>
      <t>chibi style</t>
    </r>
  </si>
  <si>
    <t>⚙️ 屬性平衡建議</t>
  </si>
  <si>
    <r>
      <rPr>
        <rFont val="Noto Sans CJK SC"/>
        <color theme="1"/>
        <sz val="11.0"/>
      </rPr>
      <t>火</t>
    </r>
    <r>
      <rPr>
        <rFont val="Arial"/>
        <color theme="1"/>
        <sz val="11.0"/>
      </rPr>
      <t>/</t>
    </r>
    <r>
      <rPr>
        <rFont val="Noto Sans CJK SC"/>
        <color theme="1"/>
        <sz val="11.0"/>
      </rPr>
      <t>冰</t>
    </r>
    <r>
      <rPr>
        <rFont val="Arial"/>
        <color theme="1"/>
        <sz val="11.0"/>
      </rPr>
      <t>/</t>
    </r>
    <r>
      <rPr>
        <rFont val="Noto Sans CJK SC"/>
        <color theme="1"/>
        <sz val="11.0"/>
      </rPr>
      <t>雷</t>
    </r>
    <r>
      <rPr>
        <rFont val="Arial"/>
        <color theme="1"/>
        <sz val="11.0"/>
      </rPr>
      <t>/</t>
    </r>
    <r>
      <rPr>
        <rFont val="Noto Sans CJK SC"/>
        <color theme="1"/>
        <sz val="11.0"/>
      </rPr>
      <t>水</t>
    </r>
    <r>
      <rPr>
        <rFont val="Arial"/>
        <color theme="1"/>
        <sz val="11.0"/>
      </rPr>
      <t>/</t>
    </r>
    <r>
      <rPr>
        <rFont val="Noto Sans CJK SC"/>
        <color theme="1"/>
        <sz val="11.0"/>
      </rPr>
      <t>土</t>
    </r>
    <r>
      <rPr>
        <rFont val="Arial"/>
        <color theme="1"/>
        <sz val="11.0"/>
      </rPr>
      <t>/</t>
    </r>
    <r>
      <rPr>
        <rFont val="Noto Sans CJK SC"/>
        <color theme="1"/>
        <sz val="11.0"/>
      </rPr>
      <t>木</t>
    </r>
    <r>
      <rPr>
        <rFont val="Arial"/>
        <color theme="1"/>
        <sz val="11.0"/>
      </rPr>
      <t>/</t>
    </r>
    <r>
      <rPr>
        <rFont val="Noto Sans CJK SC"/>
        <color theme="1"/>
        <sz val="11.0"/>
      </rPr>
      <t>光</t>
    </r>
    <r>
      <rPr>
        <rFont val="Arial"/>
        <color theme="1"/>
        <sz val="11.0"/>
      </rPr>
      <t>/</t>
    </r>
    <r>
      <rPr>
        <rFont val="Noto Sans CJK SC"/>
        <color theme="1"/>
        <sz val="11.0"/>
      </rPr>
      <t xml:space="preserve">暗 八大基本屬性各分 </t>
    </r>
    <r>
      <rPr>
        <rFont val="Arial"/>
        <color theme="1"/>
        <sz val="11.0"/>
      </rPr>
      <t xml:space="preserve">4-6 </t>
    </r>
    <r>
      <rPr>
        <rFont val="Noto Sans CJK SC"/>
        <color theme="1"/>
        <sz val="11.0"/>
      </rPr>
      <t>隻可保持遊戲平衡</t>
    </r>
  </si>
  <si>
    <r>
      <rPr>
        <rFont val="Arial"/>
        <color theme="1"/>
        <sz val="11.0"/>
      </rPr>
      <t xml:space="preserve">UR </t>
    </r>
    <r>
      <rPr>
        <rFont val="Noto Sans CJK SC"/>
        <color theme="1"/>
        <sz val="11.0"/>
      </rPr>
      <t xml:space="preserve">限定 </t>
    </r>
    <r>
      <rPr>
        <rFont val="Arial"/>
        <color theme="1"/>
        <sz val="11.0"/>
      </rPr>
      <t xml:space="preserve">1-2 </t>
    </r>
    <r>
      <rPr>
        <rFont val="Noto Sans CJK SC"/>
        <color theme="1"/>
        <sz val="11.0"/>
      </rPr>
      <t>隻當頂級獎勵</t>
    </r>
    <r>
      <rPr>
        <rFont val="Arial"/>
        <color theme="1"/>
        <sz val="11.0"/>
      </rPr>
      <t xml:space="preserve">,SSR </t>
    </r>
    <r>
      <rPr>
        <rFont val="Noto Sans CJK SC"/>
        <color theme="1"/>
        <sz val="11.0"/>
      </rPr>
      <t xml:space="preserve">約 </t>
    </r>
    <r>
      <rPr>
        <rFont val="Arial"/>
        <color theme="1"/>
        <sz val="11.0"/>
      </rPr>
      <t xml:space="preserve">30-35 </t>
    </r>
    <r>
      <rPr>
        <rFont val="Noto Sans CJK SC"/>
        <color theme="1"/>
        <sz val="11.0"/>
      </rPr>
      <t>隻為主力</t>
    </r>
    <r>
      <rPr>
        <rFont val="Arial"/>
        <color theme="1"/>
        <sz val="11.0"/>
      </rPr>
      <t xml:space="preserve">,SR/R </t>
    </r>
    <r>
      <rPr>
        <rFont val="Noto Sans CJK SC"/>
        <color theme="1"/>
        <sz val="11.0"/>
      </rPr>
      <t>為新手池</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</si>
</sst>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Noto Sans"/>
    </font>
    <font>
      <sz val="10.0"/>
      <color theme="1"/>
      <name val="Arial"/>
    </font>
    <font>
      <sz val="10.0"/>
      <color theme="1"/>
      <name val="Noto Sans"/>
    </font>
    <font>
      <b/>
      <sz val="14.0"/>
      <color rgb="FFFFFFFF"/>
      <name val="Noto Sans"/>
    </font>
    <font/>
    <font>
      <b/>
      <sz val="11.0"/>
      <color theme="1"/>
      <name val="Noto Sans"/>
    </font>
    <font>
      <b/>
      <sz val="10.0"/>
      <color theme="1"/>
      <name val="Arial"/>
    </font>
    <font>
      <sz val="11.0"/>
      <color theme="1"/>
      <name val="Calibri"/>
    </font>
    <font>
      <sz val="11.0"/>
      <color theme="1"/>
      <name val="Noto Sans"/>
    </font>
    <font>
      <b/>
      <sz val="16.0"/>
      <color rgb="FFFFFFFF"/>
      <name val="Noto Sans"/>
    </font>
    <font>
      <sz val="11.0"/>
      <color theme="1"/>
      <name val="Arial"/>
    </font>
    <font>
      <b/>
      <sz val="11.0"/>
      <color theme="1"/>
      <name val="Arial"/>
    </font>
  </fonts>
  <fills count="8">
    <fill>
      <patternFill patternType="none"/>
    </fill>
    <fill>
      <patternFill patternType="lightGray"/>
    </fill>
    <fill>
      <patternFill patternType="solid">
        <fgColor rgb="FF2F4F4F"/>
        <bgColor rgb="FF2F4F4F"/>
      </patternFill>
    </fill>
    <fill>
      <patternFill patternType="solid">
        <fgColor rgb="FFD3D3D3"/>
        <bgColor rgb="FFD3D3D3"/>
      </patternFill>
    </fill>
    <fill>
      <patternFill patternType="solid">
        <fgColor rgb="FFFFD700"/>
        <bgColor rgb="FFFFD700"/>
      </patternFill>
    </fill>
    <fill>
      <patternFill patternType="solid">
        <fgColor rgb="FFFF6B9D"/>
        <bgColor rgb="FFFF6B9D"/>
      </patternFill>
    </fill>
    <fill>
      <patternFill patternType="solid">
        <fgColor rgb="FF9370DB"/>
        <bgColor rgb="FF9370DB"/>
      </patternFill>
    </fill>
    <fill>
      <patternFill patternType="solid">
        <fgColor rgb="FF87CEEB"/>
        <bgColor rgb="FF87CEEB"/>
      </patternFill>
    </fill>
  </fills>
  <borders count="4">
    <border/>
    <border>
      <left style="thin">
        <color rgb="FFCCCCCC"/>
      </left>
      <right style="thin">
        <color rgb="FFCCCCCC"/>
      </right>
      <top style="thin">
        <color rgb="FFCCCCCC"/>
      </top>
      <bottom style="thin">
        <color rgb="FFCCCCCC"/>
      </bottom>
    </border>
    <border>
      <left/>
      <top/>
      <bottom/>
    </border>
    <border>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2" fillId="2" fontId="4" numFmtId="0" xfId="0" applyAlignment="1" applyBorder="1" applyFont="1">
      <alignment horizontal="center" shrinkToFit="0" vertical="center" wrapText="0"/>
    </xf>
    <xf borderId="3" fillId="0" fontId="5" numFmtId="0" xfId="0" applyBorder="1" applyFont="1"/>
    <xf borderId="1" fillId="3" fontId="6" numFmtId="0" xfId="0" applyAlignment="1" applyBorder="1" applyFill="1" applyFont="1">
      <alignment horizontal="center" shrinkToFit="0" vertical="bottom" wrapText="0"/>
    </xf>
    <xf borderId="1" fillId="4" fontId="7" numFmtId="0" xfId="0" applyAlignment="1" applyBorder="1" applyFill="1" applyFont="1">
      <alignment horizontal="center" shrinkToFit="0" vertical="bottom" wrapText="0"/>
    </xf>
    <xf borderId="1" fillId="0" fontId="8" numFmtId="0" xfId="0" applyAlignment="1" applyBorder="1" applyFont="1">
      <alignment horizontal="center" shrinkToFit="0" vertical="bottom" wrapText="0"/>
    </xf>
    <xf borderId="1" fillId="0" fontId="9" numFmtId="0" xfId="0" applyAlignment="1" applyBorder="1" applyFont="1">
      <alignment horizontal="center" shrinkToFit="0" vertical="bottom" wrapText="0"/>
    </xf>
    <xf borderId="1" fillId="5" fontId="7" numFmtId="0" xfId="0" applyAlignment="1" applyBorder="1" applyFill="1" applyFont="1">
      <alignment horizontal="center" shrinkToFit="0" vertical="bottom" wrapText="0"/>
    </xf>
    <xf borderId="1" fillId="6" fontId="7" numFmtId="0" xfId="0" applyAlignment="1" applyBorder="1" applyFill="1" applyFont="1">
      <alignment horizontal="center" shrinkToFit="0" vertical="bottom" wrapText="0"/>
    </xf>
    <xf borderId="1" fillId="7" fontId="7" numFmtId="0" xfId="0" applyAlignment="1" applyBorder="1" applyFill="1" applyFont="1">
      <alignment horizontal="center" shrinkToFit="0" vertical="bottom" wrapText="0"/>
    </xf>
    <xf borderId="1" fillId="0" fontId="6" numFmtId="0" xfId="0" applyAlignment="1" applyBorder="1" applyFont="1">
      <alignment horizontal="center" shrinkToFit="0" vertical="bottom" wrapText="0"/>
    </xf>
    <xf borderId="2" fillId="2" fontId="10" numFmtId="0" xfId="0" applyAlignment="1" applyBorder="1" applyFont="1">
      <alignment horizontal="center" shrinkToFit="0" vertical="center" wrapText="0"/>
    </xf>
    <xf borderId="0" fillId="0" fontId="6" numFmtId="0" xfId="0" applyAlignment="1" applyFont="1">
      <alignment horizontal="left" shrinkToFit="0" vertical="center" wrapText="1"/>
    </xf>
    <xf borderId="0" fillId="0" fontId="9" numFmtId="0" xfId="0" applyAlignment="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4" width="12.0"/>
    <col customWidth="1" min="5" max="5" width="10.0"/>
    <col customWidth="1" min="6" max="6" width="50.0"/>
    <col customWidth="1" min="7" max="18" width="8.71"/>
  </cols>
  <sheetData>
    <row r="1" ht="31.5" customHeight="1">
      <c r="A1" s="1" t="s">
        <v>0</v>
      </c>
      <c r="B1" s="1" t="s">
        <v>1</v>
      </c>
      <c r="C1" s="1" t="s">
        <v>2</v>
      </c>
      <c r="D1" s="1" t="s">
        <v>3</v>
      </c>
      <c r="E1" s="1" t="s">
        <v>4</v>
      </c>
      <c r="F1" s="1" t="s">
        <v>5</v>
      </c>
    </row>
    <row r="2" ht="60.0" customHeight="1">
      <c r="A2" s="2">
        <v>1.0</v>
      </c>
      <c r="B2" s="3" t="s">
        <v>6</v>
      </c>
      <c r="C2" s="3" t="s">
        <v>7</v>
      </c>
      <c r="D2" s="3" t="s">
        <v>8</v>
      </c>
      <c r="E2" s="3" t="s">
        <v>9</v>
      </c>
      <c r="F2" s="3" t="s">
        <v>10</v>
      </c>
    </row>
    <row r="3" ht="60.0" customHeight="1">
      <c r="A3" s="2">
        <v>2.0</v>
      </c>
      <c r="B3" s="3" t="s">
        <v>11</v>
      </c>
      <c r="C3" s="3" t="s">
        <v>12</v>
      </c>
      <c r="D3" s="3" t="s">
        <v>13</v>
      </c>
      <c r="E3" s="3" t="s">
        <v>9</v>
      </c>
      <c r="F3" s="3" t="s">
        <v>14</v>
      </c>
    </row>
    <row r="4" ht="60.0" customHeight="1">
      <c r="A4" s="2">
        <v>3.0</v>
      </c>
      <c r="B4" s="3" t="s">
        <v>15</v>
      </c>
      <c r="C4" s="3" t="s">
        <v>16</v>
      </c>
      <c r="D4" s="3" t="s">
        <v>17</v>
      </c>
      <c r="E4" s="3" t="s">
        <v>18</v>
      </c>
      <c r="F4" s="3" t="s">
        <v>19</v>
      </c>
    </row>
    <row r="5" ht="60.0" customHeight="1">
      <c r="A5" s="2">
        <v>4.0</v>
      </c>
      <c r="B5" s="3" t="s">
        <v>20</v>
      </c>
      <c r="C5" s="3" t="s">
        <v>21</v>
      </c>
      <c r="D5" s="3" t="s">
        <v>8</v>
      </c>
      <c r="E5" s="3" t="s">
        <v>22</v>
      </c>
      <c r="F5" s="3" t="s">
        <v>23</v>
      </c>
    </row>
    <row r="6" ht="60.0" customHeight="1">
      <c r="A6" s="2">
        <v>5.0</v>
      </c>
      <c r="B6" s="3" t="s">
        <v>24</v>
      </c>
      <c r="C6" s="3" t="s">
        <v>25</v>
      </c>
      <c r="D6" s="3" t="s">
        <v>13</v>
      </c>
      <c r="E6" s="3" t="s">
        <v>9</v>
      </c>
      <c r="F6" s="3" t="s">
        <v>26</v>
      </c>
    </row>
    <row r="7" ht="60.0" customHeight="1">
      <c r="A7" s="2">
        <v>6.0</v>
      </c>
      <c r="B7" s="3" t="s">
        <v>27</v>
      </c>
      <c r="C7" s="3" t="s">
        <v>28</v>
      </c>
      <c r="D7" s="3" t="s">
        <v>29</v>
      </c>
      <c r="E7" s="3" t="s">
        <v>30</v>
      </c>
      <c r="F7" s="3" t="s">
        <v>31</v>
      </c>
    </row>
    <row r="8" ht="60.0" customHeight="1">
      <c r="A8" s="2">
        <v>7.0</v>
      </c>
      <c r="B8" s="3" t="s">
        <v>32</v>
      </c>
      <c r="C8" s="3" t="s">
        <v>33</v>
      </c>
      <c r="D8" s="3" t="s">
        <v>34</v>
      </c>
      <c r="E8" s="3" t="s">
        <v>9</v>
      </c>
      <c r="F8" s="3" t="s">
        <v>35</v>
      </c>
    </row>
    <row r="9" ht="60.0" customHeight="1">
      <c r="A9" s="2">
        <v>8.0</v>
      </c>
      <c r="B9" s="3" t="s">
        <v>36</v>
      </c>
      <c r="C9" s="3" t="s">
        <v>37</v>
      </c>
      <c r="D9" s="3" t="s">
        <v>38</v>
      </c>
      <c r="E9" s="3" t="s">
        <v>9</v>
      </c>
      <c r="F9" s="3" t="s">
        <v>39</v>
      </c>
    </row>
    <row r="10" ht="60.0" customHeight="1">
      <c r="A10" s="2">
        <v>9.0</v>
      </c>
      <c r="B10" s="3" t="s">
        <v>40</v>
      </c>
      <c r="C10" s="3" t="s">
        <v>41</v>
      </c>
      <c r="D10" s="3" t="s">
        <v>38</v>
      </c>
      <c r="E10" s="3" t="s">
        <v>42</v>
      </c>
      <c r="F10" s="3" t="s">
        <v>43</v>
      </c>
    </row>
    <row r="11" ht="60.0" customHeight="1">
      <c r="A11" s="2">
        <v>10.0</v>
      </c>
      <c r="B11" s="3" t="s">
        <v>44</v>
      </c>
      <c r="C11" s="3" t="s">
        <v>45</v>
      </c>
      <c r="D11" s="3" t="s">
        <v>17</v>
      </c>
      <c r="E11" s="3" t="s">
        <v>9</v>
      </c>
      <c r="F11" s="3" t="s">
        <v>46</v>
      </c>
    </row>
    <row r="12" ht="60.0" customHeight="1">
      <c r="A12" s="2">
        <v>11.0</v>
      </c>
      <c r="B12" s="3" t="s">
        <v>47</v>
      </c>
      <c r="C12" s="3" t="s">
        <v>48</v>
      </c>
      <c r="D12" s="3" t="s">
        <v>49</v>
      </c>
      <c r="E12" s="3" t="s">
        <v>50</v>
      </c>
      <c r="F12" s="3" t="s">
        <v>51</v>
      </c>
    </row>
    <row r="13" ht="60.0" customHeight="1">
      <c r="A13" s="2">
        <v>12.0</v>
      </c>
      <c r="B13" s="3" t="s">
        <v>52</v>
      </c>
      <c r="C13" s="3" t="s">
        <v>53</v>
      </c>
      <c r="D13" s="3" t="s">
        <v>54</v>
      </c>
      <c r="E13" s="3" t="s">
        <v>9</v>
      </c>
      <c r="F13" s="3" t="s">
        <v>55</v>
      </c>
    </row>
    <row r="14" ht="60.0" customHeight="1">
      <c r="A14" s="2">
        <v>13.0</v>
      </c>
      <c r="B14" s="3" t="s">
        <v>56</v>
      </c>
      <c r="C14" s="3" t="s">
        <v>57</v>
      </c>
      <c r="D14" s="3" t="s">
        <v>58</v>
      </c>
      <c r="E14" s="3" t="s">
        <v>42</v>
      </c>
      <c r="F14" s="3" t="s">
        <v>59</v>
      </c>
    </row>
    <row r="15" ht="60.0" customHeight="1">
      <c r="A15" s="2">
        <v>14.0</v>
      </c>
      <c r="B15" s="3" t="s">
        <v>60</v>
      </c>
      <c r="C15" s="3" t="s">
        <v>61</v>
      </c>
      <c r="D15" s="3" t="s">
        <v>62</v>
      </c>
      <c r="E15" s="3" t="s">
        <v>63</v>
      </c>
      <c r="F15" s="3" t="s">
        <v>64</v>
      </c>
    </row>
    <row r="16" ht="60.0" customHeight="1">
      <c r="A16" s="2">
        <v>15.0</v>
      </c>
      <c r="B16" s="3" t="s">
        <v>65</v>
      </c>
      <c r="C16" s="3" t="s">
        <v>66</v>
      </c>
      <c r="D16" s="3" t="s">
        <v>67</v>
      </c>
      <c r="E16" s="3" t="s">
        <v>30</v>
      </c>
      <c r="F16" s="3" t="s">
        <v>68</v>
      </c>
    </row>
    <row r="17" ht="60.0" customHeight="1">
      <c r="A17" s="2">
        <v>16.0</v>
      </c>
      <c r="B17" s="3" t="s">
        <v>69</v>
      </c>
      <c r="C17" s="3" t="s">
        <v>70</v>
      </c>
      <c r="D17" s="3" t="s">
        <v>71</v>
      </c>
      <c r="E17" s="3" t="s">
        <v>9</v>
      </c>
      <c r="F17" s="3" t="s">
        <v>72</v>
      </c>
    </row>
    <row r="18" ht="60.0" customHeight="1">
      <c r="A18" s="2">
        <v>17.0</v>
      </c>
      <c r="B18" s="3" t="s">
        <v>73</v>
      </c>
      <c r="C18" s="3" t="s">
        <v>74</v>
      </c>
      <c r="D18" s="3" t="s">
        <v>13</v>
      </c>
      <c r="E18" s="3" t="s">
        <v>9</v>
      </c>
      <c r="F18" s="3" t="s">
        <v>75</v>
      </c>
    </row>
    <row r="19" ht="60.0" customHeight="1">
      <c r="A19" s="2">
        <v>18.0</v>
      </c>
      <c r="B19" s="3" t="s">
        <v>76</v>
      </c>
      <c r="C19" s="3" t="s">
        <v>77</v>
      </c>
      <c r="D19" s="3" t="s">
        <v>29</v>
      </c>
      <c r="E19" s="3" t="s">
        <v>50</v>
      </c>
      <c r="F19" s="3" t="s">
        <v>78</v>
      </c>
    </row>
    <row r="20" ht="60.0" customHeight="1">
      <c r="A20" s="2">
        <v>19.0</v>
      </c>
      <c r="B20" s="3" t="s">
        <v>79</v>
      </c>
      <c r="C20" s="3" t="s">
        <v>80</v>
      </c>
      <c r="D20" s="3" t="s">
        <v>81</v>
      </c>
      <c r="E20" s="3" t="s">
        <v>82</v>
      </c>
      <c r="F20" s="3" t="s">
        <v>83</v>
      </c>
    </row>
    <row r="21" ht="60.0" customHeight="1">
      <c r="A21" s="2">
        <v>20.0</v>
      </c>
      <c r="B21" s="3" t="s">
        <v>84</v>
      </c>
      <c r="C21" s="3" t="s">
        <v>85</v>
      </c>
      <c r="D21" s="3" t="s">
        <v>86</v>
      </c>
      <c r="E21" s="3" t="s">
        <v>9</v>
      </c>
      <c r="F21" s="3" t="s">
        <v>87</v>
      </c>
    </row>
    <row r="22" ht="60.0" customHeight="1">
      <c r="A22" s="2">
        <v>21.0</v>
      </c>
      <c r="B22" s="3" t="s">
        <v>88</v>
      </c>
      <c r="C22" s="3" t="s">
        <v>89</v>
      </c>
      <c r="D22" s="3" t="s">
        <v>71</v>
      </c>
      <c r="E22" s="3" t="s">
        <v>9</v>
      </c>
      <c r="F22" s="3" t="s">
        <v>90</v>
      </c>
    </row>
    <row r="23" ht="60.0" customHeight="1">
      <c r="A23" s="2">
        <v>22.0</v>
      </c>
      <c r="B23" s="3" t="s">
        <v>91</v>
      </c>
      <c r="C23" s="3" t="s">
        <v>92</v>
      </c>
      <c r="D23" s="3" t="s">
        <v>34</v>
      </c>
      <c r="E23" s="3" t="s">
        <v>50</v>
      </c>
      <c r="F23" s="3" t="s">
        <v>93</v>
      </c>
    </row>
    <row r="24" ht="60.0" customHeight="1">
      <c r="A24" s="2">
        <v>23.0</v>
      </c>
      <c r="B24" s="3" t="s">
        <v>94</v>
      </c>
      <c r="C24" s="3" t="s">
        <v>95</v>
      </c>
      <c r="D24" s="3" t="s">
        <v>54</v>
      </c>
      <c r="E24" s="3" t="s">
        <v>42</v>
      </c>
      <c r="F24" s="3" t="s">
        <v>96</v>
      </c>
    </row>
    <row r="25" ht="60.0" customHeight="1">
      <c r="A25" s="2">
        <v>24.0</v>
      </c>
      <c r="B25" s="3" t="s">
        <v>97</v>
      </c>
      <c r="C25" s="3" t="s">
        <v>98</v>
      </c>
      <c r="D25" s="3" t="s">
        <v>99</v>
      </c>
      <c r="E25" s="3" t="s">
        <v>9</v>
      </c>
      <c r="F25" s="3" t="s">
        <v>100</v>
      </c>
    </row>
    <row r="26" ht="60.0" customHeight="1">
      <c r="A26" s="2">
        <v>25.0</v>
      </c>
      <c r="B26" s="3" t="s">
        <v>101</v>
      </c>
      <c r="C26" s="3" t="s">
        <v>102</v>
      </c>
      <c r="D26" s="3" t="s">
        <v>29</v>
      </c>
      <c r="E26" s="3" t="s">
        <v>50</v>
      </c>
      <c r="F26" s="3" t="s">
        <v>103</v>
      </c>
    </row>
    <row r="27" ht="60.0" customHeight="1">
      <c r="A27" s="2">
        <v>26.0</v>
      </c>
      <c r="B27" s="3" t="s">
        <v>104</v>
      </c>
      <c r="C27" s="3" t="s">
        <v>105</v>
      </c>
      <c r="D27" s="3" t="s">
        <v>99</v>
      </c>
      <c r="E27" s="3" t="s">
        <v>9</v>
      </c>
      <c r="F27" s="3" t="s">
        <v>106</v>
      </c>
    </row>
    <row r="28" ht="60.0" customHeight="1">
      <c r="A28" s="2">
        <v>27.0</v>
      </c>
      <c r="B28" s="3" t="s">
        <v>107</v>
      </c>
      <c r="C28" s="3" t="s">
        <v>108</v>
      </c>
      <c r="D28" s="3" t="s">
        <v>109</v>
      </c>
      <c r="E28" s="3" t="s">
        <v>9</v>
      </c>
      <c r="F28" s="3" t="s">
        <v>110</v>
      </c>
    </row>
    <row r="29" ht="60.0" customHeight="1">
      <c r="A29" s="2">
        <v>28.0</v>
      </c>
      <c r="B29" s="3" t="s">
        <v>111</v>
      </c>
      <c r="C29" s="3" t="s">
        <v>112</v>
      </c>
      <c r="D29" s="3" t="s">
        <v>99</v>
      </c>
      <c r="E29" s="3" t="s">
        <v>9</v>
      </c>
      <c r="F29" s="3" t="s">
        <v>113</v>
      </c>
    </row>
    <row r="30" ht="60.0" customHeight="1">
      <c r="A30" s="2">
        <v>29.0</v>
      </c>
      <c r="B30" s="3" t="s">
        <v>114</v>
      </c>
      <c r="C30" s="3" t="s">
        <v>115</v>
      </c>
      <c r="D30" s="3" t="s">
        <v>99</v>
      </c>
      <c r="E30" s="3" t="s">
        <v>9</v>
      </c>
      <c r="F30" s="3" t="s">
        <v>116</v>
      </c>
    </row>
    <row r="31" ht="60.0" customHeight="1">
      <c r="A31" s="2">
        <v>30.0</v>
      </c>
      <c r="B31" s="3" t="s">
        <v>117</v>
      </c>
      <c r="C31" s="3" t="s">
        <v>118</v>
      </c>
      <c r="D31" s="3" t="s">
        <v>38</v>
      </c>
      <c r="E31" s="3" t="s">
        <v>63</v>
      </c>
      <c r="F31" s="3" t="s">
        <v>119</v>
      </c>
    </row>
    <row r="32" ht="60.0" customHeight="1">
      <c r="A32" s="2">
        <v>31.0</v>
      </c>
      <c r="B32" s="3" t="s">
        <v>120</v>
      </c>
      <c r="C32" s="3" t="s">
        <v>121</v>
      </c>
      <c r="D32" s="3" t="s">
        <v>54</v>
      </c>
      <c r="E32" s="3" t="s">
        <v>42</v>
      </c>
      <c r="F32" s="3" t="s">
        <v>122</v>
      </c>
    </row>
    <row r="33" ht="60.0" customHeight="1">
      <c r="A33" s="2">
        <v>32.0</v>
      </c>
      <c r="B33" s="3" t="s">
        <v>123</v>
      </c>
      <c r="C33" s="3" t="s">
        <v>124</v>
      </c>
      <c r="D33" s="3" t="s">
        <v>13</v>
      </c>
      <c r="E33" s="3" t="s">
        <v>125</v>
      </c>
      <c r="F33" s="3" t="s">
        <v>126</v>
      </c>
    </row>
    <row r="34" ht="60.0" customHeight="1">
      <c r="A34" s="2">
        <v>33.0</v>
      </c>
      <c r="B34" s="3" t="s">
        <v>127</v>
      </c>
      <c r="C34" s="3" t="s">
        <v>128</v>
      </c>
      <c r="D34" s="3" t="s">
        <v>54</v>
      </c>
      <c r="E34" s="3" t="s">
        <v>9</v>
      </c>
      <c r="F34" s="3" t="s">
        <v>129</v>
      </c>
    </row>
    <row r="35" ht="60.0" customHeight="1">
      <c r="A35" s="2">
        <v>34.0</v>
      </c>
      <c r="B35" s="3" t="s">
        <v>130</v>
      </c>
      <c r="C35" s="3" t="s">
        <v>131</v>
      </c>
      <c r="D35" s="3" t="s">
        <v>17</v>
      </c>
      <c r="E35" s="3" t="s">
        <v>132</v>
      </c>
      <c r="F35" s="3" t="s">
        <v>133</v>
      </c>
    </row>
    <row r="36" ht="60.0" customHeight="1">
      <c r="A36" s="2">
        <v>35.0</v>
      </c>
      <c r="B36" s="3" t="s">
        <v>134</v>
      </c>
      <c r="C36" s="3" t="s">
        <v>135</v>
      </c>
      <c r="D36" s="3" t="s">
        <v>136</v>
      </c>
      <c r="E36" s="3" t="s">
        <v>9</v>
      </c>
      <c r="F36" s="3" t="s">
        <v>137</v>
      </c>
    </row>
    <row r="37" ht="60.0" customHeight="1">
      <c r="A37" s="2">
        <v>36.0</v>
      </c>
      <c r="B37" s="3" t="s">
        <v>138</v>
      </c>
      <c r="C37" s="3" t="s">
        <v>139</v>
      </c>
      <c r="D37" s="3" t="s">
        <v>17</v>
      </c>
      <c r="E37" s="3" t="s">
        <v>63</v>
      </c>
      <c r="F37" s="3" t="s">
        <v>140</v>
      </c>
    </row>
    <row r="38" ht="60.0" customHeight="1">
      <c r="A38" s="2">
        <v>37.0</v>
      </c>
      <c r="B38" s="3" t="s">
        <v>141</v>
      </c>
      <c r="C38" s="3" t="s">
        <v>142</v>
      </c>
      <c r="D38" s="3" t="s">
        <v>99</v>
      </c>
      <c r="E38" s="3" t="s">
        <v>143</v>
      </c>
      <c r="F38" s="3" t="s">
        <v>144</v>
      </c>
    </row>
    <row r="39" ht="60.0" customHeight="1">
      <c r="A39" s="2">
        <v>38.0</v>
      </c>
      <c r="B39" s="3" t="s">
        <v>145</v>
      </c>
      <c r="C39" s="3" t="s">
        <v>146</v>
      </c>
      <c r="D39" s="3" t="s">
        <v>34</v>
      </c>
      <c r="E39" s="3" t="s">
        <v>50</v>
      </c>
      <c r="F39" s="3" t="s">
        <v>147</v>
      </c>
    </row>
    <row r="40" ht="60.0" customHeight="1">
      <c r="A40" s="2">
        <v>39.0</v>
      </c>
      <c r="B40" s="3" t="s">
        <v>148</v>
      </c>
      <c r="C40" s="3" t="s">
        <v>149</v>
      </c>
      <c r="D40" s="3" t="s">
        <v>49</v>
      </c>
      <c r="E40" s="3" t="s">
        <v>50</v>
      </c>
      <c r="F40" s="3" t="s">
        <v>150</v>
      </c>
    </row>
    <row r="41" ht="60.0" customHeight="1">
      <c r="A41" s="2">
        <v>40.0</v>
      </c>
      <c r="B41" s="3" t="s">
        <v>151</v>
      </c>
      <c r="C41" s="3" t="s">
        <v>152</v>
      </c>
      <c r="D41" s="3" t="s">
        <v>34</v>
      </c>
      <c r="E41" s="3" t="s">
        <v>153</v>
      </c>
      <c r="F41" s="3" t="s">
        <v>154</v>
      </c>
    </row>
    <row r="42" ht="60.0" customHeight="1">
      <c r="A42" s="2">
        <v>41.0</v>
      </c>
      <c r="B42" s="3" t="s">
        <v>155</v>
      </c>
      <c r="C42" s="3" t="s">
        <v>156</v>
      </c>
      <c r="D42" s="3" t="s">
        <v>13</v>
      </c>
      <c r="E42" s="3" t="s">
        <v>42</v>
      </c>
      <c r="F42" s="3" t="s">
        <v>157</v>
      </c>
    </row>
    <row r="43" ht="60.0" customHeight="1">
      <c r="A43" s="2">
        <v>42.0</v>
      </c>
      <c r="B43" s="3" t="s">
        <v>158</v>
      </c>
      <c r="C43" s="3" t="s">
        <v>159</v>
      </c>
      <c r="D43" s="3" t="s">
        <v>29</v>
      </c>
      <c r="E43" s="3" t="s">
        <v>50</v>
      </c>
      <c r="F43" s="3" t="s">
        <v>160</v>
      </c>
    </row>
    <row r="44" ht="60.0" customHeight="1">
      <c r="A44" s="2">
        <v>43.0</v>
      </c>
      <c r="B44" s="3" t="s">
        <v>161</v>
      </c>
      <c r="C44" s="3" t="s">
        <v>162</v>
      </c>
      <c r="D44" s="3" t="s">
        <v>34</v>
      </c>
      <c r="E44" s="3" t="s">
        <v>50</v>
      </c>
      <c r="F44" s="3" t="s">
        <v>163</v>
      </c>
    </row>
    <row r="45" ht="60.0" customHeight="1">
      <c r="A45" s="2">
        <v>44.0</v>
      </c>
      <c r="B45" s="3" t="s">
        <v>164</v>
      </c>
      <c r="C45" s="3" t="s">
        <v>165</v>
      </c>
      <c r="D45" s="3" t="s">
        <v>54</v>
      </c>
      <c r="E45" s="3" t="s">
        <v>9</v>
      </c>
      <c r="F45" s="3" t="s">
        <v>166</v>
      </c>
    </row>
    <row r="46" ht="60.0" customHeight="1">
      <c r="A46" s="2">
        <v>45.0</v>
      </c>
      <c r="B46" s="3" t="s">
        <v>167</v>
      </c>
      <c r="C46" s="3" t="s">
        <v>168</v>
      </c>
      <c r="D46" s="3" t="s">
        <v>54</v>
      </c>
      <c r="E46" s="3" t="s">
        <v>9</v>
      </c>
      <c r="F46" s="3" t="s">
        <v>169</v>
      </c>
    </row>
    <row r="47" ht="60.0" customHeight="1">
      <c r="A47" s="2">
        <v>46.0</v>
      </c>
      <c r="B47" s="3" t="s">
        <v>170</v>
      </c>
      <c r="C47" s="3" t="s">
        <v>171</v>
      </c>
      <c r="D47" s="3" t="s">
        <v>81</v>
      </c>
      <c r="E47" s="3" t="s">
        <v>9</v>
      </c>
      <c r="F47" s="3" t="s">
        <v>172</v>
      </c>
    </row>
    <row r="48" ht="60.0" customHeight="1">
      <c r="A48" s="2">
        <v>47.0</v>
      </c>
      <c r="B48" s="3" t="s">
        <v>173</v>
      </c>
      <c r="C48" s="3" t="s">
        <v>174</v>
      </c>
      <c r="D48" s="3" t="s">
        <v>175</v>
      </c>
      <c r="E48" s="3" t="s">
        <v>30</v>
      </c>
      <c r="F48" s="3" t="s">
        <v>176</v>
      </c>
    </row>
    <row r="49" ht="60.0" customHeight="1">
      <c r="A49" s="2">
        <v>48.0</v>
      </c>
      <c r="B49" s="3" t="s">
        <v>177</v>
      </c>
      <c r="C49" s="3" t="s">
        <v>178</v>
      </c>
      <c r="D49" s="3" t="s">
        <v>34</v>
      </c>
      <c r="E49" s="3" t="s">
        <v>179</v>
      </c>
      <c r="F49" s="3" t="s">
        <v>180</v>
      </c>
    </row>
    <row r="50" ht="60.0" customHeight="1">
      <c r="A50" s="2">
        <v>49.0</v>
      </c>
      <c r="B50" s="3" t="s">
        <v>181</v>
      </c>
      <c r="C50" s="3" t="s">
        <v>182</v>
      </c>
      <c r="D50" s="3" t="s">
        <v>183</v>
      </c>
      <c r="E50" s="3" t="s">
        <v>22</v>
      </c>
      <c r="F50" s="3" t="s">
        <v>184</v>
      </c>
    </row>
    <row r="51" ht="60.0" customHeight="1">
      <c r="A51" s="2">
        <v>50.0</v>
      </c>
      <c r="B51" s="3" t="s">
        <v>185</v>
      </c>
      <c r="C51" s="3" t="s">
        <v>186</v>
      </c>
      <c r="D51" s="3" t="s">
        <v>86</v>
      </c>
      <c r="E51" s="3" t="s">
        <v>187</v>
      </c>
      <c r="F51" s="3" t="s">
        <v>188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4.0"/>
    <col customWidth="1" min="3" max="3" width="100.0"/>
    <col customWidth="1" min="4" max="26" width="8.71"/>
  </cols>
  <sheetData>
    <row r="1" ht="30.0" customHeight="1">
      <c r="A1" s="1" t="s">
        <v>0</v>
      </c>
      <c r="B1" s="1" t="s">
        <v>1</v>
      </c>
      <c r="C1" s="1" t="s">
        <v>189</v>
      </c>
    </row>
    <row r="2" ht="75.0" customHeight="1">
      <c r="A2" s="2">
        <v>1.0</v>
      </c>
      <c r="B2" s="3" t="s">
        <v>6</v>
      </c>
      <c r="C2" s="2" t="s">
        <v>190</v>
      </c>
    </row>
    <row r="3" ht="75.0" customHeight="1">
      <c r="A3" s="2">
        <v>2.0</v>
      </c>
      <c r="B3" s="3" t="s">
        <v>11</v>
      </c>
      <c r="C3" s="2" t="s">
        <v>191</v>
      </c>
    </row>
    <row r="4" ht="75.0" customHeight="1">
      <c r="A4" s="2">
        <v>3.0</v>
      </c>
      <c r="B4" s="3" t="s">
        <v>15</v>
      </c>
      <c r="C4" s="2" t="s">
        <v>192</v>
      </c>
    </row>
    <row r="5" ht="75.0" customHeight="1">
      <c r="A5" s="2">
        <v>4.0</v>
      </c>
      <c r="B5" s="3" t="s">
        <v>20</v>
      </c>
      <c r="C5" s="2" t="s">
        <v>193</v>
      </c>
    </row>
    <row r="6" ht="75.0" customHeight="1">
      <c r="A6" s="2">
        <v>5.0</v>
      </c>
      <c r="B6" s="3" t="s">
        <v>24</v>
      </c>
      <c r="C6" s="2" t="s">
        <v>194</v>
      </c>
    </row>
    <row r="7" ht="75.0" customHeight="1">
      <c r="A7" s="2">
        <v>6.0</v>
      </c>
      <c r="B7" s="3" t="s">
        <v>27</v>
      </c>
      <c r="C7" s="2" t="s">
        <v>195</v>
      </c>
    </row>
    <row r="8" ht="75.0" customHeight="1">
      <c r="A8" s="2">
        <v>7.0</v>
      </c>
      <c r="B8" s="3" t="s">
        <v>32</v>
      </c>
      <c r="C8" s="2" t="s">
        <v>196</v>
      </c>
    </row>
    <row r="9" ht="75.0" customHeight="1">
      <c r="A9" s="2">
        <v>8.0</v>
      </c>
      <c r="B9" s="3" t="s">
        <v>36</v>
      </c>
      <c r="C9" s="2" t="s">
        <v>197</v>
      </c>
    </row>
    <row r="10" ht="75.0" customHeight="1">
      <c r="A10" s="2">
        <v>9.0</v>
      </c>
      <c r="B10" s="3" t="s">
        <v>40</v>
      </c>
      <c r="C10" s="2" t="s">
        <v>198</v>
      </c>
    </row>
    <row r="11" ht="75.0" customHeight="1">
      <c r="A11" s="2">
        <v>10.0</v>
      </c>
      <c r="B11" s="3" t="s">
        <v>44</v>
      </c>
      <c r="C11" s="2" t="s">
        <v>199</v>
      </c>
    </row>
    <row r="12" ht="75.0" customHeight="1">
      <c r="A12" s="2">
        <v>11.0</v>
      </c>
      <c r="B12" s="3" t="s">
        <v>47</v>
      </c>
      <c r="C12" s="2" t="s">
        <v>200</v>
      </c>
    </row>
    <row r="13" ht="75.0" customHeight="1">
      <c r="A13" s="2">
        <v>12.0</v>
      </c>
      <c r="B13" s="3" t="s">
        <v>52</v>
      </c>
      <c r="C13" s="2" t="s">
        <v>201</v>
      </c>
    </row>
    <row r="14" ht="75.0" customHeight="1">
      <c r="A14" s="2">
        <v>13.0</v>
      </c>
      <c r="B14" s="3" t="s">
        <v>56</v>
      </c>
      <c r="C14" s="2" t="s">
        <v>202</v>
      </c>
    </row>
    <row r="15" ht="75.0" customHeight="1">
      <c r="A15" s="2">
        <v>14.0</v>
      </c>
      <c r="B15" s="3" t="s">
        <v>60</v>
      </c>
      <c r="C15" s="2" t="s">
        <v>203</v>
      </c>
    </row>
    <row r="16" ht="75.0" customHeight="1">
      <c r="A16" s="2">
        <v>15.0</v>
      </c>
      <c r="B16" s="3" t="s">
        <v>65</v>
      </c>
      <c r="C16" s="2" t="s">
        <v>204</v>
      </c>
    </row>
    <row r="17" ht="75.0" customHeight="1">
      <c r="A17" s="2">
        <v>16.0</v>
      </c>
      <c r="B17" s="3" t="s">
        <v>69</v>
      </c>
      <c r="C17" s="2" t="s">
        <v>205</v>
      </c>
    </row>
    <row r="18" ht="75.0" customHeight="1">
      <c r="A18" s="2">
        <v>17.0</v>
      </c>
      <c r="B18" s="3" t="s">
        <v>73</v>
      </c>
      <c r="C18" s="2" t="s">
        <v>206</v>
      </c>
    </row>
    <row r="19" ht="75.0" customHeight="1">
      <c r="A19" s="2">
        <v>18.0</v>
      </c>
      <c r="B19" s="3" t="s">
        <v>76</v>
      </c>
      <c r="C19" s="2" t="s">
        <v>207</v>
      </c>
    </row>
    <row r="20" ht="75.0" customHeight="1">
      <c r="A20" s="2">
        <v>19.0</v>
      </c>
      <c r="B20" s="3" t="s">
        <v>79</v>
      </c>
      <c r="C20" s="2" t="s">
        <v>208</v>
      </c>
    </row>
    <row r="21" ht="75.0" customHeight="1">
      <c r="A21" s="2">
        <v>20.0</v>
      </c>
      <c r="B21" s="3" t="s">
        <v>84</v>
      </c>
      <c r="C21" s="2" t="s">
        <v>209</v>
      </c>
    </row>
    <row r="22" ht="75.0" customHeight="1">
      <c r="A22" s="2">
        <v>21.0</v>
      </c>
      <c r="B22" s="3" t="s">
        <v>88</v>
      </c>
      <c r="C22" s="2" t="s">
        <v>210</v>
      </c>
    </row>
    <row r="23" ht="75.0" customHeight="1">
      <c r="A23" s="2">
        <v>22.0</v>
      </c>
      <c r="B23" s="3" t="s">
        <v>91</v>
      </c>
      <c r="C23" s="2" t="s">
        <v>211</v>
      </c>
    </row>
    <row r="24" ht="75.0" customHeight="1">
      <c r="A24" s="2">
        <v>23.0</v>
      </c>
      <c r="B24" s="3" t="s">
        <v>94</v>
      </c>
      <c r="C24" s="2" t="s">
        <v>212</v>
      </c>
    </row>
    <row r="25" ht="75.0" customHeight="1">
      <c r="A25" s="2">
        <v>24.0</v>
      </c>
      <c r="B25" s="3" t="s">
        <v>97</v>
      </c>
      <c r="C25" s="2" t="s">
        <v>213</v>
      </c>
    </row>
    <row r="26" ht="75.0" customHeight="1">
      <c r="A26" s="2">
        <v>25.0</v>
      </c>
      <c r="B26" s="3" t="s">
        <v>101</v>
      </c>
      <c r="C26" s="2" t="s">
        <v>214</v>
      </c>
    </row>
    <row r="27" ht="75.0" customHeight="1">
      <c r="A27" s="2">
        <v>26.0</v>
      </c>
      <c r="B27" s="3" t="s">
        <v>104</v>
      </c>
      <c r="C27" s="2" t="s">
        <v>215</v>
      </c>
    </row>
    <row r="28" ht="75.0" customHeight="1">
      <c r="A28" s="2">
        <v>27.0</v>
      </c>
      <c r="B28" s="3" t="s">
        <v>107</v>
      </c>
      <c r="C28" s="2" t="s">
        <v>216</v>
      </c>
    </row>
    <row r="29" ht="75.0" customHeight="1">
      <c r="A29" s="2">
        <v>28.0</v>
      </c>
      <c r="B29" s="3" t="s">
        <v>111</v>
      </c>
      <c r="C29" s="2" t="s">
        <v>217</v>
      </c>
    </row>
    <row r="30" ht="75.0" customHeight="1">
      <c r="A30" s="2">
        <v>29.0</v>
      </c>
      <c r="B30" s="3" t="s">
        <v>114</v>
      </c>
      <c r="C30" s="2" t="s">
        <v>218</v>
      </c>
    </row>
    <row r="31" ht="75.0" customHeight="1">
      <c r="A31" s="2">
        <v>30.0</v>
      </c>
      <c r="B31" s="3" t="s">
        <v>117</v>
      </c>
      <c r="C31" s="2" t="s">
        <v>219</v>
      </c>
    </row>
    <row r="32" ht="75.0" customHeight="1">
      <c r="A32" s="2">
        <v>31.0</v>
      </c>
      <c r="B32" s="3" t="s">
        <v>120</v>
      </c>
      <c r="C32" s="2" t="s">
        <v>220</v>
      </c>
    </row>
    <row r="33" ht="75.0" customHeight="1">
      <c r="A33" s="2">
        <v>32.0</v>
      </c>
      <c r="B33" s="3" t="s">
        <v>123</v>
      </c>
      <c r="C33" s="2" t="s">
        <v>221</v>
      </c>
    </row>
    <row r="34" ht="75.0" customHeight="1">
      <c r="A34" s="2">
        <v>33.0</v>
      </c>
      <c r="B34" s="3" t="s">
        <v>127</v>
      </c>
      <c r="C34" s="2" t="s">
        <v>222</v>
      </c>
    </row>
    <row r="35" ht="75.0" customHeight="1">
      <c r="A35" s="2">
        <v>34.0</v>
      </c>
      <c r="B35" s="3" t="s">
        <v>130</v>
      </c>
      <c r="C35" s="2" t="s">
        <v>223</v>
      </c>
    </row>
    <row r="36" ht="75.0" customHeight="1">
      <c r="A36" s="2">
        <v>35.0</v>
      </c>
      <c r="B36" s="3" t="s">
        <v>134</v>
      </c>
      <c r="C36" s="2" t="s">
        <v>224</v>
      </c>
    </row>
    <row r="37" ht="75.0" customHeight="1">
      <c r="A37" s="2">
        <v>36.0</v>
      </c>
      <c r="B37" s="3" t="s">
        <v>138</v>
      </c>
      <c r="C37" s="2" t="s">
        <v>225</v>
      </c>
    </row>
    <row r="38" ht="75.0" customHeight="1">
      <c r="A38" s="2">
        <v>37.0</v>
      </c>
      <c r="B38" s="3" t="s">
        <v>141</v>
      </c>
      <c r="C38" s="2" t="s">
        <v>226</v>
      </c>
    </row>
    <row r="39" ht="75.0" customHeight="1">
      <c r="A39" s="2">
        <v>38.0</v>
      </c>
      <c r="B39" s="3" t="s">
        <v>145</v>
      </c>
      <c r="C39" s="2" t="s">
        <v>227</v>
      </c>
    </row>
    <row r="40" ht="75.0" customHeight="1">
      <c r="A40" s="2">
        <v>39.0</v>
      </c>
      <c r="B40" s="3" t="s">
        <v>148</v>
      </c>
      <c r="C40" s="2" t="s">
        <v>228</v>
      </c>
    </row>
    <row r="41" ht="75.0" customHeight="1">
      <c r="A41" s="2">
        <v>40.0</v>
      </c>
      <c r="B41" s="3" t="s">
        <v>151</v>
      </c>
      <c r="C41" s="2" t="s">
        <v>229</v>
      </c>
    </row>
    <row r="42" ht="75.0" customHeight="1">
      <c r="A42" s="2">
        <v>41.0</v>
      </c>
      <c r="B42" s="3" t="s">
        <v>155</v>
      </c>
      <c r="C42" s="2" t="s">
        <v>230</v>
      </c>
    </row>
    <row r="43" ht="75.0" customHeight="1">
      <c r="A43" s="2">
        <v>42.0</v>
      </c>
      <c r="B43" s="3" t="s">
        <v>158</v>
      </c>
      <c r="C43" s="2" t="s">
        <v>231</v>
      </c>
    </row>
    <row r="44" ht="75.0" customHeight="1">
      <c r="A44" s="2">
        <v>43.0</v>
      </c>
      <c r="B44" s="3" t="s">
        <v>161</v>
      </c>
      <c r="C44" s="2" t="s">
        <v>232</v>
      </c>
    </row>
    <row r="45" ht="75.0" customHeight="1">
      <c r="A45" s="2">
        <v>44.0</v>
      </c>
      <c r="B45" s="3" t="s">
        <v>164</v>
      </c>
      <c r="C45" s="2" t="s">
        <v>233</v>
      </c>
    </row>
    <row r="46" ht="75.0" customHeight="1">
      <c r="A46" s="2">
        <v>45.0</v>
      </c>
      <c r="B46" s="3" t="s">
        <v>167</v>
      </c>
      <c r="C46" s="2" t="s">
        <v>234</v>
      </c>
    </row>
    <row r="47" ht="75.0" customHeight="1">
      <c r="A47" s="2">
        <v>46.0</v>
      </c>
      <c r="B47" s="3" t="s">
        <v>170</v>
      </c>
      <c r="C47" s="2" t="s">
        <v>235</v>
      </c>
    </row>
    <row r="48" ht="75.0" customHeight="1">
      <c r="A48" s="2">
        <v>47.0</v>
      </c>
      <c r="B48" s="3" t="s">
        <v>173</v>
      </c>
      <c r="C48" s="2" t="s">
        <v>236</v>
      </c>
    </row>
    <row r="49" ht="75.0" customHeight="1">
      <c r="A49" s="2">
        <v>48.0</v>
      </c>
      <c r="B49" s="3" t="s">
        <v>177</v>
      </c>
      <c r="C49" s="2" t="s">
        <v>237</v>
      </c>
    </row>
    <row r="50" ht="75.0" customHeight="1">
      <c r="A50" s="2">
        <v>49.0</v>
      </c>
      <c r="B50" s="3" t="s">
        <v>181</v>
      </c>
      <c r="C50" s="2" t="s">
        <v>238</v>
      </c>
    </row>
    <row r="51" ht="75.0" customHeight="1">
      <c r="A51" s="2">
        <v>50.0</v>
      </c>
      <c r="B51" s="3" t="s">
        <v>185</v>
      </c>
      <c r="C51" s="2" t="s">
        <v>239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2.0"/>
    <col customWidth="1" min="3" max="3" width="4.0"/>
    <col customWidth="1" min="4" max="4" width="14.0"/>
    <col customWidth="1" min="5" max="5" width="12.0"/>
    <col customWidth="1" min="6" max="26" width="8.71"/>
  </cols>
  <sheetData>
    <row r="1">
      <c r="A1" s="4" t="s">
        <v>240</v>
      </c>
      <c r="B1" s="5"/>
      <c r="D1" s="4" t="s">
        <v>241</v>
      </c>
      <c r="E1" s="5"/>
    </row>
    <row r="2">
      <c r="A2" s="6" t="s">
        <v>242</v>
      </c>
      <c r="B2" s="6" t="s">
        <v>243</v>
      </c>
      <c r="D2" s="6" t="s">
        <v>4</v>
      </c>
      <c r="E2" s="6" t="s">
        <v>243</v>
      </c>
    </row>
    <row r="3">
      <c r="A3" s="7" t="s">
        <v>244</v>
      </c>
      <c r="B3" s="8">
        <f>COUNTIF(#REF!,"UR")</f>
        <v>0</v>
      </c>
      <c r="D3" s="9" t="s">
        <v>9</v>
      </c>
      <c r="E3" s="9">
        <f>COUNTIF('仙獸設定主表'!E2:E51,"天界")</f>
        <v>21</v>
      </c>
    </row>
    <row r="4">
      <c r="A4" s="10" t="s">
        <v>245</v>
      </c>
      <c r="B4" s="9">
        <f>COUNTIF(#REF!,"SSR")</f>
        <v>0</v>
      </c>
      <c r="D4" s="9" t="s">
        <v>50</v>
      </c>
      <c r="E4" s="9">
        <f>COUNTIF('仙獸設定主表'!E2:E51,"魔界")</f>
        <v>8</v>
      </c>
    </row>
    <row r="5">
      <c r="A5" s="11" t="s">
        <v>246</v>
      </c>
      <c r="B5" s="9">
        <f>COUNTIF(#REF!,"SR")</f>
        <v>0</v>
      </c>
      <c r="D5" s="9" t="s">
        <v>30</v>
      </c>
      <c r="E5" s="9">
        <f>COUNTIF('仙獸設定主表'!E2:E51,"冥界")</f>
        <v>3</v>
      </c>
    </row>
    <row r="6">
      <c r="A6" s="12" t="s">
        <v>247</v>
      </c>
      <c r="B6" s="9">
        <f>COUNTIF(#REF!,"R")</f>
        <v>0</v>
      </c>
      <c r="D6" s="9" t="s">
        <v>22</v>
      </c>
      <c r="E6" s="9">
        <f>COUNTIF('仙獸設定主表'!E2:E51,"佛界")</f>
        <v>2</v>
      </c>
    </row>
    <row r="7">
      <c r="A7" s="13" t="s">
        <v>248</v>
      </c>
      <c r="B7" s="13">
        <f>SUM(B3:B6)</f>
        <v>0</v>
      </c>
      <c r="D7" s="9" t="s">
        <v>63</v>
      </c>
      <c r="E7" s="9">
        <f>COUNTIF('仙獸設定主表'!E2:E51,"海界")</f>
        <v>3</v>
      </c>
    </row>
    <row r="8">
      <c r="D8" s="9" t="s">
        <v>18</v>
      </c>
      <c r="E8" s="9">
        <f>COUNTIF('仙獸設定主表'!E2:E51,"夢境界")</f>
        <v>1</v>
      </c>
    </row>
    <row r="9">
      <c r="D9" s="9" t="s">
        <v>42</v>
      </c>
      <c r="E9" s="9">
        <f>COUNTIF('仙獸設定主表'!E2:E51,"自然界")</f>
        <v>5</v>
      </c>
    </row>
    <row r="10">
      <c r="D10" s="9" t="s">
        <v>82</v>
      </c>
      <c r="E10" s="9">
        <f>COUNTIF('仙獸設定主表'!E2:E51,"虛無界")</f>
        <v>1</v>
      </c>
    </row>
    <row r="11">
      <c r="D11" s="9" t="s">
        <v>143</v>
      </c>
      <c r="E11" s="9">
        <f>COUNTIF('仙獸設定主表'!E2:E51,"人界")</f>
        <v>1</v>
      </c>
    </row>
    <row r="12">
      <c r="D12" s="9" t="s">
        <v>125</v>
      </c>
      <c r="E12" s="9">
        <f>COUNTIF('仙獸設定主表'!E2:E51,"夜界")</f>
        <v>1</v>
      </c>
    </row>
    <row r="13">
      <c r="D13" s="9" t="s">
        <v>132</v>
      </c>
      <c r="E13" s="9">
        <f>COUNTIF('仙獸設定主表'!E2:E51,"月宮")</f>
        <v>1</v>
      </c>
    </row>
    <row r="14">
      <c r="D14" s="9" t="s">
        <v>179</v>
      </c>
      <c r="E14" s="9">
        <f>COUNTIF('仙獸設定主表'!E2:E51,"心魔界")</f>
        <v>1</v>
      </c>
    </row>
    <row r="15">
      <c r="D15" s="9" t="s">
        <v>153</v>
      </c>
      <c r="E15" s="9">
        <f>COUNTIF('仙獸設定主表'!E2:E51,"極北")</f>
        <v>1</v>
      </c>
    </row>
    <row r="16">
      <c r="D16" s="9" t="s">
        <v>187</v>
      </c>
      <c r="E16" s="9">
        <f>COUNTIF('仙獸設定主表'!E2:E51,"道界")</f>
        <v>1</v>
      </c>
    </row>
    <row r="17">
      <c r="D17" s="13" t="s">
        <v>248</v>
      </c>
      <c r="E17" s="13">
        <f>SUM(E3:E16)</f>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D1:E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80.0"/>
    <col customWidth="1" min="3" max="26" width="8.71"/>
  </cols>
  <sheetData>
    <row r="1" ht="31.5" customHeight="1">
      <c r="A1" s="14" t="s">
        <v>249</v>
      </c>
      <c r="B1" s="5"/>
    </row>
    <row r="3" ht="27.75" customHeight="1">
      <c r="A3" s="15" t="s">
        <v>250</v>
      </c>
      <c r="B3" s="16" t="s">
        <v>251</v>
      </c>
    </row>
    <row r="4" ht="27.75" customHeight="1">
      <c r="A4" s="15" t="s">
        <v>252</v>
      </c>
      <c r="B4" s="16" t="s">
        <v>253</v>
      </c>
    </row>
    <row r="5" ht="27.75" customHeight="1">
      <c r="A5" s="15" t="s">
        <v>254</v>
      </c>
      <c r="B5" s="16" t="s">
        <v>255</v>
      </c>
    </row>
    <row r="6" ht="27.75" customHeight="1">
      <c r="A6" s="15"/>
      <c r="B6" s="16"/>
    </row>
    <row r="7" ht="27.75" customHeight="1">
      <c r="A7" s="15" t="s">
        <v>256</v>
      </c>
      <c r="B7" s="17" t="s">
        <v>257</v>
      </c>
    </row>
    <row r="8" ht="27.75" customHeight="1">
      <c r="A8" s="15"/>
      <c r="B8" s="16"/>
    </row>
    <row r="9" ht="27.75" customHeight="1">
      <c r="A9" s="18" t="s">
        <v>258</v>
      </c>
      <c r="B9" s="17" t="s">
        <v>259</v>
      </c>
    </row>
    <row r="10" ht="27.75" customHeight="1">
      <c r="A10" s="15"/>
      <c r="B10" s="17" t="s">
        <v>260</v>
      </c>
    </row>
    <row r="11" ht="27.75" customHeight="1">
      <c r="A11" s="15"/>
      <c r="B11" s="17" t="s">
        <v>261</v>
      </c>
    </row>
    <row r="12" ht="27.75" customHeight="1">
      <c r="A12" s="15"/>
      <c r="B12" s="17" t="s">
        <v>262</v>
      </c>
    </row>
    <row r="13" ht="27.75" customHeight="1">
      <c r="A13" s="15"/>
      <c r="B13" s="16"/>
    </row>
    <row r="14" ht="27.75" customHeight="1">
      <c r="A14" s="15" t="s">
        <v>263</v>
      </c>
      <c r="B14" s="16" t="s">
        <v>264</v>
      </c>
    </row>
    <row r="15" ht="27.75" customHeight="1">
      <c r="A15" s="15"/>
      <c r="B15" s="17" t="s">
        <v>265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2026-05-07T04:25:11Z</dcterms:created>
  <dc:creator>openpyxl</dc:creator>
</cp:coreProperties>
</file>

<file path=docProps/custom.xml><?xml version="1.0" encoding="utf-8"?>
<Properties xmlns="http://schemas.openxmlformats.org/officeDocument/2006/custom-properties" xmlns:vt="http://schemas.openxmlformats.org/officeDocument/2006/docPropsVTypes"/>
</file>